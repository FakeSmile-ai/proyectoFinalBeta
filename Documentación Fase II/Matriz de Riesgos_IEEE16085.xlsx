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ov6\Documents\Universidad\Ciclo 1-2026\Ingenieria de Software\Proyecto\Fase 2\"/>
    </mc:Choice>
  </mc:AlternateContent>
  <xr:revisionPtr revIDLastSave="0" documentId="13_ncr:1_{8F5C1155-33A0-45AB-B529-0FFAB7A226E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-Registro" sheetId="1" r:id="rId1"/>
    <sheet name="2-Matriz P×I" sheetId="2" r:id="rId2"/>
    <sheet name="3-Dashboard" sheetId="3" r:id="rId3"/>
    <sheet name="4-Instrucciones" sheetId="4" r:id="rId4"/>
  </sheets>
  <definedNames>
    <definedName name="_xlnm._FilterDatabase" localSheetId="0" hidden="1">'1-Registro'!$A$3:$N$3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1" l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D14" i="3"/>
  <c r="C14" i="3"/>
  <c r="E14" i="3" s="1"/>
  <c r="D13" i="3"/>
  <c r="C13" i="3"/>
  <c r="E13" i="3" s="1"/>
  <c r="D12" i="3"/>
  <c r="C12" i="3"/>
  <c r="E12" i="3" s="1"/>
  <c r="D11" i="3"/>
  <c r="C11" i="3"/>
  <c r="E11" i="3" s="1"/>
  <c r="D10" i="3"/>
  <c r="C10" i="3"/>
  <c r="E10" i="3" s="1"/>
  <c r="D9" i="3"/>
  <c r="C9" i="3"/>
  <c r="E9" i="3" s="1"/>
  <c r="F4" i="3"/>
  <c r="A4" i="3"/>
  <c r="E23" i="2"/>
  <c r="E22" i="2"/>
  <c r="E21" i="2"/>
  <c r="E20" i="2"/>
  <c r="E19" i="2"/>
  <c r="E18" i="2"/>
  <c r="E17" i="2"/>
  <c r="E16" i="2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C21" i="3" l="1"/>
  <c r="D21" i="3" s="1"/>
  <c r="C20" i="3"/>
  <c r="D20" i="3" s="1"/>
  <c r="E4" i="3"/>
  <c r="D4" i="3"/>
  <c r="C4" i="3"/>
  <c r="C19" i="3"/>
  <c r="D19" i="3" s="1"/>
  <c r="B4" i="3"/>
  <c r="C18" i="3"/>
  <c r="D18" i="3" s="1"/>
</calcChain>
</file>

<file path=xl/sharedStrings.xml><?xml version="1.0" encoding="utf-8"?>
<sst xmlns="http://schemas.openxmlformats.org/spreadsheetml/2006/main" count="442" uniqueCount="257">
  <si>
    <t>REGISTRO DE RIESGOS  |  IEEE 16085:2021 + PMBOK® 7ª Ed.  |  Ingeniería de Software – UMG</t>
  </si>
  <si>
    <t>ID</t>
  </si>
  <si>
    <t>Categoría</t>
  </si>
  <si>
    <t>Tipo</t>
  </si>
  <si>
    <t>Descripción del Riesgo</t>
  </si>
  <si>
    <t>Probabilidad
(P: 1-5)</t>
  </si>
  <si>
    <t>Impacto
(I: 1-5)</t>
  </si>
  <si>
    <t>Exposición
E=P×I</t>
  </si>
  <si>
    <t>Nivel</t>
  </si>
  <si>
    <t>Estrategia</t>
  </si>
  <si>
    <t>Acción de Respuesta</t>
  </si>
  <si>
    <t>Responsable</t>
  </si>
  <si>
    <t>Fecha Límite</t>
  </si>
  <si>
    <t>Estado</t>
  </si>
  <si>
    <t>Notas</t>
  </si>
  <si>
    <t>R-001</t>
  </si>
  <si>
    <t>TEC</t>
  </si>
  <si>
    <t>Negativo</t>
  </si>
  <si>
    <t>Los requisitos del sistema cambian frecuentemente durante el desarrollo.</t>
  </si>
  <si>
    <t>MITIGAR</t>
  </si>
  <si>
    <t>Activo</t>
  </si>
  <si>
    <t>Riesgo prioritario</t>
  </si>
  <si>
    <t>R-002</t>
  </si>
  <si>
    <t>GES</t>
  </si>
  <si>
    <t>R-003</t>
  </si>
  <si>
    <t>EVITAR</t>
  </si>
  <si>
    <t>R-004</t>
  </si>
  <si>
    <t>ORG</t>
  </si>
  <si>
    <t>En monitoreo</t>
  </si>
  <si>
    <t>R-005</t>
  </si>
  <si>
    <t>CAL</t>
  </si>
  <si>
    <t>R-006</t>
  </si>
  <si>
    <t>EXT</t>
  </si>
  <si>
    <t>TRANSFERIR</t>
  </si>
  <si>
    <t>R-007</t>
  </si>
  <si>
    <t>REQ</t>
  </si>
  <si>
    <t>R-008</t>
  </si>
  <si>
    <t>Positivo (Oportunidad)</t>
  </si>
  <si>
    <t>EXPLOTAR</t>
  </si>
  <si>
    <t>Oportunidad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</si>
  <si>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</si>
  <si>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</si>
  <si>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</si>
  <si>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</si>
  <si>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</si>
  <si>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</si>
  <si>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</si>
  <si>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</si>
  <si>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MATRIZ DE PROBABILIDAD × IMPACTO (5×5)</t>
  </si>
  <si>
    <t>Ingeniería de Software – UMG  |  E = P × I  |  CRÍTICO ≥15 | ALTO 8-14 | MEDIO 4-7 | BAJO 1-3</t>
  </si>
  <si>
    <t>↓ IMPACTO</t>
  </si>
  <si>
    <t>1
Insig.</t>
  </si>
  <si>
    <t>2
Menor</t>
  </si>
  <si>
    <t>3
Moderado</t>
  </si>
  <si>
    <t>4
Mayor</t>
  </si>
  <si>
    <t>5
Catas.</t>
  </si>
  <si>
    <t>PROBABILIDAD  →</t>
  </si>
  <si>
    <t>5 – Muy Alta</t>
  </si>
  <si>
    <t>E=5
MEDIO</t>
  </si>
  <si>
    <t>E=10
ALTO</t>
  </si>
  <si>
    <t>E=15
CRÍTICO</t>
  </si>
  <si>
    <t>E=20
CRÍTICO</t>
  </si>
  <si>
    <t>E=25
CRÍTICO</t>
  </si>
  <si>
    <t>4 – Alta</t>
  </si>
  <si>
    <t>E=4
MEDIO</t>
  </si>
  <si>
    <t>E=8
ALTO</t>
  </si>
  <si>
    <t>E=12
ALTO</t>
  </si>
  <si>
    <t>E=16
CRÍTICO</t>
  </si>
  <si>
    <t>3 – Media</t>
  </si>
  <si>
    <t>E=3
BAJO</t>
  </si>
  <si>
    <t>E=6
MEDIO</t>
  </si>
  <si>
    <t>E=9
ALTO</t>
  </si>
  <si>
    <t>2 – Baja</t>
  </si>
  <si>
    <t>E=2
BAJO</t>
  </si>
  <si>
    <t>E=4
BAJO</t>
  </si>
  <si>
    <t>1 – Muy Baja</t>
  </si>
  <si>
    <t>E=1
BAJO</t>
  </si>
  <si>
    <t>LEYENDA</t>
  </si>
  <si>
    <t>CRÍTICO  (E ≥ 15)</t>
  </si>
  <si>
    <t>ALTO  (E 8–14)</t>
  </si>
  <si>
    <t>MEDIO  (E 4–7)</t>
  </si>
  <si>
    <t>BAJO  (E 1–3)</t>
  </si>
  <si>
    <t>POSICIÓN DE RIESGOS IDENTIFICADOS</t>
  </si>
  <si>
    <t>ID Riesgo</t>
  </si>
  <si>
    <t>Probabilidad (P)</t>
  </si>
  <si>
    <t>Impacto (I)</t>
  </si>
  <si>
    <t>Exposición (E)</t>
  </si>
  <si>
    <t>Posición Matriz</t>
  </si>
  <si>
    <t>CRÍTICO</t>
  </si>
  <si>
    <t>P4 × I4</t>
  </si>
  <si>
    <t>ALTO</t>
  </si>
  <si>
    <t>P3 × I4</t>
  </si>
  <si>
    <t>P3 × I3</t>
  </si>
  <si>
    <t>P2 × I4</t>
  </si>
  <si>
    <t>MEDIO</t>
  </si>
  <si>
    <t>P2 × I3</t>
  </si>
  <si>
    <t>P3 × I2</t>
  </si>
  <si>
    <t>P3 × I2 (OPT.)</t>
  </si>
  <si>
    <t>DASHBOARD DE GESTIÓN DE RIESGOS</t>
  </si>
  <si>
    <t>TOTAL RIESGOS</t>
  </si>
  <si>
    <t>CRÍTICOS</t>
  </si>
  <si>
    <t>ALTOS</t>
  </si>
  <si>
    <t>MEDIOS</t>
  </si>
  <si>
    <t>BAJOS</t>
  </si>
  <si>
    <t>ACTIVOS</t>
  </si>
  <si>
    <t>DISTRIBUCIÓN POR CATEGORÍA</t>
  </si>
  <si>
    <t>Descripción</t>
  </si>
  <si>
    <t>Total</t>
  </si>
  <si>
    <t>Activos</t>
  </si>
  <si>
    <t>% del Total</t>
  </si>
  <si>
    <t>Técnico</t>
  </si>
  <si>
    <t>Gestión</t>
  </si>
  <si>
    <t>Organizacional</t>
  </si>
  <si>
    <t>Externo</t>
  </si>
  <si>
    <t>Requerimientos</t>
  </si>
  <si>
    <t>Calidad</t>
  </si>
  <si>
    <t>DISTRIBUCIÓN POR NIVEL DE RIESGO</t>
  </si>
  <si>
    <t>Rango E</t>
  </si>
  <si>
    <t>Cantidad</t>
  </si>
  <si>
    <t>% Total</t>
  </si>
  <si>
    <t>Acción Requerida</t>
  </si>
  <si>
    <t>E ≥ 15</t>
  </si>
  <si>
    <t>Escalar. Plan de acción inmediato.</t>
  </si>
  <si>
    <t>E 8–14</t>
  </si>
  <si>
    <t>Plan de respuesta definido.</t>
  </si>
  <si>
    <t>E 4–7</t>
  </si>
  <si>
    <t>Mitigar y monitorear.</t>
  </si>
  <si>
    <t>BAJO</t>
  </si>
  <si>
    <t>E 1–3</t>
  </si>
  <si>
    <t>Aceptar y monitorear periódicamente.</t>
  </si>
  <si>
    <t>GUÍA DE USO – MATRIZ DE RIESGOS</t>
  </si>
  <si>
    <t>OBJETIVO</t>
  </si>
  <si>
    <t>Esta plantilla implementa el proceso de gestión de riesgos definido en IEEE 16085:2021 y PMBOK® 7ª Edición para proyectos de desarrollo de software.</t>
  </si>
  <si>
    <t>HOJA 1-Registro</t>
  </si>
  <si>
    <t>Ingrese cada riesgo en una fila. Los campos con listas desplegables son: Categoría, Tipo, Estrategia y Estado. Los campos E (Exposición) y Nivel se calculan automáticamente con fórmulas. No modifique las columnas G y H.</t>
  </si>
  <si>
    <t>Categorías (RBS)</t>
  </si>
  <si>
    <t>TEC=Técnico | GES=Gestión | ORG=Organizacional | EXT=Externo | REQ=Requerimientos | CAL=Calidad. Use la RBS como guía sistemática para identificar riesgos en cada categoría.</t>
  </si>
  <si>
    <t>Escala P e I</t>
  </si>
  <si>
    <t>Tanto Probabilidad como Impacto se ingresan en escala del 1 al 5.
1=Muy Bajo/Insignificante  2=Bajo/Menor  3=Medio/Moderado  4=Alto/Mayor  5=Muy Alto/Catastrófico</t>
  </si>
  <si>
    <t>Niveles de Exposición</t>
  </si>
  <si>
    <t>E = P × I. Niveles: BAJO (1-3) | MEDIO (4-7) | ALTO (8-14) | CRÍTICO (≥15). El formato condicional colorea automáticamente la celda según el nivel.</t>
  </si>
  <si>
    <t>HOJA 2-Matriz P×I</t>
  </si>
  <si>
    <t>Visualiza la posición de cada riesgo en la matriz de calor 5×5. Referencia cruzada con los IDs de la hoja 1-Registro.</t>
  </si>
  <si>
    <t>HOJA 3-Dashboard</t>
  </si>
  <si>
    <t>Muestra KPIs y distribución automática. Se actualiza al modificar la hoja 1-Registro. NO requiere edición manual.</t>
  </si>
  <si>
    <t>Añadir Riesgos</t>
  </si>
  <si>
    <t>Ingrese nuevos riesgos en las filas en blanco (R-009 en adelante). Las fórmulas de E y Nivel se copian automáticamente. El Dashboard se actualiza al guardar.</t>
  </si>
  <si>
    <t>Buenas Prácticas</t>
  </si>
  <si>
    <t>• Revisar y actualizar el registro semanalmente.
• Escalar riesgos CRÍTICOS al Gerente de Proyecto inmediatamente.
• Cambiar el estado a 'Cerrado' cuando el riesgo ya no aplica.
• Documentar evidencia en la columna 'Notas'.</t>
  </si>
  <si>
    <t>Referencia Normativa</t>
  </si>
  <si>
    <t>IEEE 16085:2021 – ISO/IEC/IEEE Standard for Systems and Software Engineering – Life Cycle Processes – Risk Management.
PMBOK® Guide 7ª Ed. – Project Management Institute (PMI).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</si>
  <si>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</si>
  <si>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</si>
  <si>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</si>
  <si>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</si>
  <si>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</si>
  <si>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</si>
  <si>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</si>
  <si>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</si>
  <si>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</si>
  <si>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</si>
  <si>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</si>
  <si>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</si>
  <si>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</si>
  <si>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</si>
  <si>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Incompatibilidad entre módulos front-end, back-end y base de datos.</t>
  </si>
  <si>
    <t>El cálculo automático de puntos tras ingresar resultados genera duplicación de puntos por doble ejecución.</t>
  </si>
  <si>
    <t>La plataforma no escala ante el pico de usuarios durante partidos simultáneos del mundial.</t>
  </si>
  <si>
    <t>Vulnerabilidad de seguridad permite que un usuario manipule vaticinios de otro o acceda a resultados antes de tiempo.</t>
  </si>
  <si>
    <t>La base de datos no maneja correctamente la separación de puntos por liga (RN-15), mezclando datos entre ligas.</t>
  </si>
  <si>
    <t>Estimación de esfuerzo incorrecta genera retrasos en el cronograma de entrega.</t>
  </si>
  <si>
    <t>Falta de disponibilidad del cliente para validar historias de usuario y criterios de aceptación.</t>
  </si>
  <si>
    <t>El alcance del proyecto crece sin control (scope creep) por solicitudes fuera de las HU definidas.</t>
  </si>
  <si>
    <t>Un miembro clave del equipo abandona el proyecto durante el desarrollo.</t>
  </si>
  <si>
    <t>El equipo no tiene experiencia previa con la metodología híbrida seleccionada.</t>
  </si>
  <si>
    <t>Falta de comunicación entre el equipo de desarrollo y el equipo de QA genera defectos tardíos.</t>
  </si>
  <si>
    <t>Falta de pruebas automatizadas genera defectos críticos en el módulo de cálculo de premios.</t>
  </si>
  <si>
    <t>Los criterios de aceptación de las HU no son suficientemente claros para que QA pueda generar casos de prueba.</t>
  </si>
  <si>
    <t>La lógica de empates en distribución de premios (RN-22 a RN-25) es implementada incorrectamente.</t>
  </si>
  <si>
    <t>El sistema no bloquea correctamente la modificación de resultados ya procesados (RN-32).</t>
  </si>
  <si>
    <t>Las reglas de distribución del premio global (1%) son ambiguas o mal interpretadas por el equipo.</t>
  </si>
  <si>
    <t>Los horarios oficiales de partidos del Mundial 2026 cambian después de ser cargados en el sistema.</t>
  </si>
  <si>
    <t>Un usuario encuentra una forma de registrar más de un vaticinio por partido en la misma liga (RN-07).</t>
  </si>
  <si>
    <t>El cierre automático del mundial (HU-028) no se ejecuta correctamente al detectar el último partido.</t>
  </si>
  <si>
    <t>El sistema permite crear ligas de apuesta con precio cero o negativo (RN-08, RN-31).</t>
  </si>
  <si>
    <t>Conflictos internos del equipo afectan la productividad y la calidad de las entregas.</t>
  </si>
  <si>
    <t>Falta de infraestructura de desarrollo (servidores, licencias, accesos) retrasa el inicio del proyecto.</t>
  </si>
  <si>
    <t>La FIFA cambia el formato del torneo o la cantidad de equipos clasificados antes del inicio.</t>
  </si>
  <si>
    <t>Servicio de correo electrónico de terceros (invitaciones, notificaciones) presenta interrupciones.</t>
  </si>
  <si>
    <t>Corte de energía o fallo de internet durante ingreso de resultados deja el sistema en estado inconsistente.</t>
  </si>
  <si>
    <t>Reutilización de componentes existentes (auth, email) reduce el esfuerzo de desarrollo estimado.</t>
  </si>
  <si>
    <t>El uso de una metodología híbrida aumenta la flexibilidad para adaptarse a cambios del cliente.</t>
  </si>
  <si>
    <t>La popularidad del Mundial 2026 genera alta demanda orgánica de usuarios, validando el producto con usuarios reales.</t>
  </si>
  <si>
    <t>ACEPTAR</t>
  </si>
  <si>
    <t>Establecer proceso formal de control de cambios. Congelar baseline de requisitos por sprint.</t>
  </si>
  <si>
    <t>Realizar prueba de concepto (PoC) de integración antes de comprometer la arquitectura final.</t>
  </si>
  <si>
    <t>Implementar bloqueo de idempotencia (RN-29, RN-36). Agregar pruebas de regresión para el proceso de cierre.</t>
  </si>
  <si>
    <t>Definir arquitectura escalable (auto-scaling). Realizar pruebas de carga con herramientas como JMeter.</t>
  </si>
  <si>
    <t>Implementar autenticación JWT, validación server-side de permisos y auditoría de logs. Pruebas de penetración.</t>
  </si>
  <si>
    <t>Diseñar esquema de BD con clave compuesta usuario+liga. Pruebas de aislamiento de datos por liga.</t>
  </si>
  <si>
    <t>Usar técnica PERT para estimaciones. Añadir buffer del 20% al cronograma general del proyecto.</t>
  </si>
  <si>
    <t>Establecer calendario fijo de reuniones de validación. Usar asincrónico como respaldo (correo/formulario).</t>
  </si>
  <si>
    <t>Gestionar formalmente cambios de alcance. Congelar las 28 HU v2.0 como baseline aprobado.</t>
  </si>
  <si>
    <t>Documentar conocimiento técnico. Asignar un desarrollador de respaldo por cada área funcional.</t>
  </si>
  <si>
    <t>Realizar sesión de capacitación antes del inicio. Designar Scrum Master con experiencia en metodología.</t>
  </si>
  <si>
    <t>Integrar QA desde el inicio del sprint. Realizar revisiones de código cruzadas (code review).</t>
  </si>
  <si>
    <t>Establecer cobertura mínima del 90% en el módulo de premios. Implementar pipeline CI/CD con pruebas obligatorias.</t>
  </si>
  <si>
    <t>Realizar sesión de refinamiento de CA con todo el equipo antes de cada sprint. Usar el Documento 8 como base.</t>
  </si>
  <si>
    <t>Crear suite de pruebas unitarias específica para cada escenario de empate definido en las RN.</t>
  </si>
  <si>
    <t>Implementar pruebas de regresión específicas para RN-32. Auditoría de intentos de modificación en logs.</t>
  </si>
  <si>
    <t>Realizar sesión de validación de RN-19, RN-26, RN-39 y RN-40 con el cliente antes de implementar.</t>
  </si>
  <si>
    <t>Implementar proceso de actualización de horarios con recalculo automático del límite de vaticinio (RN-30).</t>
  </si>
  <si>
    <t>Validar unicidad vaticinio-usuario-liga-partido en back-end. No depender solo de validación de UI.</t>
  </si>
  <si>
    <t>Implementar proceso de cierre con verificación manual como respaldo. Alertas automáticas al administrador.</t>
  </si>
  <si>
    <t>Agregar validación server-side que rechace precio &lt;= 0 en ligas de apuesta. Prueba específica de frontera.</t>
  </si>
  <si>
    <t>Establecer fechas internas de entrega con 3 días de anticipación a la fecha oficial. Asignar responsable por documento.</t>
  </si>
  <si>
    <t>Definir roles y responsabilidades claras desde el inicio. Establecer protocolo de resolución de conflictos.</t>
  </si>
  <si>
    <t>Levantar entorno de desarrollo en la primera semana. Usar herramientas gratuitas o de código abierto como respaldo.</t>
  </si>
  <si>
    <t>Monitorear comunicados oficiales FIFA. El diseño modular permite ajustar cantidad de grupos/equipos.</t>
  </si>
  <si>
    <t>Definir SLA con proveedor. Implementar sistema de reintento automático (retry logic) para emails fallidos.</t>
  </si>
  <si>
    <t>Implementar transacciones atómicas en BD. Proceso de recuperación ante fallos con rollback automático.</t>
  </si>
  <si>
    <t>Catalogar librerías y componentes reutilizables al inicio del proyecto. Asignar sprint de setup de arquitectura base.</t>
  </si>
  <si>
    <t>Mantener backlogs actualizados y realizar retrospectivas por sprint para aprovechar la agilidad del equipo.</t>
  </si>
  <si>
    <t>Publicar versión beta antes del inicio del torneo. Recopilar feedback de usuarios reales para mejoras rápidas.</t>
  </si>
  <si>
    <t>Alineado a RN-29 y RN-36</t>
  </si>
  <si>
    <t>48 partidos pueden ser simultáneos en fase de grupos</t>
  </si>
  <si>
    <t>Riesgo de integridad del sistema de apuestas</t>
  </si>
  <si>
    <t>Alineado a RN-15</t>
  </si>
  <si>
    <t>El cálculo de premios es el módulo de mayor riesgo financiero</t>
  </si>
  <si>
    <t>Alineado a RN-22, RN-23, RN-24, RN-25</t>
  </si>
  <si>
    <t>Alineado a RN-32</t>
  </si>
  <si>
    <t>Alineado a RN-19, RN-26, RN-39, RN-40</t>
  </si>
  <si>
    <t>Alineado a RN-30</t>
  </si>
  <si>
    <t>Alineado a RN-07</t>
  </si>
  <si>
    <t>Alineado a RN-38</t>
  </si>
  <si>
    <t>Alineado a RN-08, RN-31</t>
  </si>
  <si>
    <t>Riesgo externo no controlable</t>
  </si>
  <si>
    <t>Oportunidad de ahorro de tiempo</t>
  </si>
  <si>
    <t>Oportunidad de validación real</t>
  </si>
  <si>
    <t>Proyecto: [Sistema web de apuestas]  |  Versión: 1.0  |  Fecha: [28/03/2026]  |  Responsable: [Grupo 2]</t>
  </si>
  <si>
    <t>Gerente de Proyecto</t>
  </si>
  <si>
    <t>Jun 2026</t>
  </si>
  <si>
    <t>Arquitecto de Software</t>
  </si>
  <si>
    <t>May 2026</t>
  </si>
  <si>
    <t>Líder Técnico Ejecutante</t>
  </si>
  <si>
    <t>Diseñador de Base de Datos / Arquitecto de Software</t>
  </si>
  <si>
    <t>Continuo</t>
  </si>
  <si>
    <t>QA Tester</t>
  </si>
  <si>
    <t>QA Tester / Analista de Negocio</t>
  </si>
  <si>
    <t>Líder Técnico Ejecutante / QA Tester</t>
  </si>
  <si>
    <t>QA Tester / Líder Técnico Ejecutante</t>
  </si>
  <si>
    <t>Analista de Negocio / Gerente de Proyecto</t>
  </si>
  <si>
    <t>Analista de Procesos</t>
  </si>
  <si>
    <t>Jul 2026</t>
  </si>
  <si>
    <t>El equipo no entrega los documentos en los plazos establecidos.</t>
  </si>
  <si>
    <t>Analista de Negocio</t>
  </si>
  <si>
    <t>Diseñador de Base de Datos / Líder Técnico Ejecutante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</si>
</sst>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10"/>
      <color rgb="FF4B0082"/>
      <name val="Arial"/>
      <family val="2"/>
    </font>
    <font>
      <b/>
      <sz val="9"/>
      <color rgb="FFFFFFFF"/>
      <name val="Arial"/>
      <family val="2"/>
    </font>
    <font>
      <b/>
      <sz val="9"/>
      <color rgb="FF4B0082"/>
      <name val="Arial"/>
      <family val="2"/>
    </font>
    <font>
      <b/>
      <sz val="9"/>
      <color rgb="FF6A3D9A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666666"/>
      <name val="Arial"/>
      <family val="2"/>
    </font>
    <font>
      <i/>
      <sz val="9"/>
      <color rgb="FF4B0082"/>
      <name val="Arial"/>
      <family val="2"/>
    </font>
    <font>
      <b/>
      <sz val="10"/>
      <color rgb="FFFFFFFF"/>
      <name val="Arial"/>
      <family val="2"/>
    </font>
    <font>
      <b/>
      <sz val="10"/>
      <color rgb="FF856404"/>
      <name val="Arial"/>
      <family val="2"/>
    </font>
    <font>
      <b/>
      <sz val="10"/>
      <color rgb="FFE36C09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4B0082"/>
      <name val="Arial"/>
      <family val="2"/>
    </font>
    <font>
      <b/>
      <sz val="9"/>
      <color rgb="FFC00000"/>
      <name val="Arial"/>
      <family val="2"/>
    </font>
    <font>
      <b/>
      <sz val="9"/>
      <color rgb="FFE36C09"/>
      <name val="Arial"/>
      <family val="2"/>
    </font>
    <font>
      <b/>
      <sz val="9"/>
      <color rgb="FF856404"/>
      <name val="Arial"/>
      <family val="2"/>
    </font>
    <font>
      <b/>
      <sz val="9"/>
      <color rgb="FF375623"/>
      <name val="Arial"/>
      <family val="2"/>
    </font>
    <font>
      <b/>
      <sz val="14"/>
      <color rgb="FFFFFFFF"/>
      <name val="Arial"/>
      <family val="2"/>
    </font>
    <font>
      <b/>
      <sz val="22"/>
      <color rgb="FF4B0082"/>
      <name val="Arial"/>
      <family val="2"/>
    </font>
    <font>
      <b/>
      <sz val="22"/>
      <color rgb="FFC00000"/>
      <name val="Arial"/>
      <family val="2"/>
    </font>
    <font>
      <b/>
      <sz val="22"/>
      <color rgb="FFE36C09"/>
      <name val="Arial"/>
      <family val="2"/>
    </font>
    <font>
      <b/>
      <sz val="22"/>
      <color rgb="FF856404"/>
      <name val="Arial"/>
      <family val="2"/>
    </font>
    <font>
      <b/>
      <sz val="22"/>
      <color rgb="FF375623"/>
      <name val="Arial"/>
      <family val="2"/>
    </font>
    <font>
      <b/>
      <sz val="22"/>
      <color rgb="FF6A3D9A"/>
      <name val="Arial"/>
      <family val="2"/>
    </font>
    <font>
      <b/>
      <sz val="11"/>
      <color rgb="FFFFFFFF"/>
      <name val="Arial"/>
      <family val="2"/>
    </font>
    <font>
      <b/>
      <sz val="12"/>
      <color rgb="FFC00000"/>
      <name val="Arial"/>
      <family val="2"/>
    </font>
    <font>
      <b/>
      <sz val="12"/>
      <color rgb="FFE36C09"/>
      <name val="Arial"/>
      <family val="2"/>
    </font>
    <font>
      <b/>
      <sz val="12"/>
      <color rgb="FF856404"/>
      <name val="Arial"/>
      <family val="2"/>
    </font>
    <font>
      <b/>
      <sz val="12"/>
      <color rgb="FF375623"/>
      <name val="Arial"/>
      <family val="2"/>
    </font>
    <font>
      <sz val="9"/>
      <name val="Arial"/>
      <family val="2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4B0082"/>
        <bgColor rgb="FF800080"/>
      </patternFill>
    </fill>
    <fill>
      <patternFill patternType="solid">
        <fgColor rgb="FFE8D5F5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A1A2E"/>
        <bgColor rgb="FF003300"/>
      </patternFill>
    </fill>
    <fill>
      <patternFill patternType="solid">
        <fgColor rgb="FF6A3D9A"/>
        <bgColor rgb="FF993366"/>
      </patternFill>
    </fill>
    <fill>
      <patternFill patternType="solid">
        <fgColor rgb="FFFFD966"/>
        <bgColor rgb="FFFFD699"/>
      </patternFill>
    </fill>
    <fill>
      <patternFill patternType="solid">
        <fgColor rgb="FFFFD699"/>
        <bgColor rgb="FFFFD966"/>
      </patternFill>
    </fill>
    <fill>
      <patternFill patternType="solid">
        <fgColor rgb="FFF4CCCC"/>
        <bgColor rgb="FFE8D5F5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 style="thin">
        <color rgb="FF6A3D9A"/>
      </left>
      <right style="thin">
        <color rgb="FF6A3D9A"/>
      </right>
      <top style="thin">
        <color rgb="FF6A3D9A"/>
      </top>
      <bottom style="thin">
        <color rgb="FF6A3D9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4B0082"/>
      </left>
      <right style="thin">
        <color rgb="FF4B0082"/>
      </right>
      <top style="thin">
        <color rgb="FF4B0082"/>
      </top>
      <bottom style="thin">
        <color rgb="FF4B0082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E36C09"/>
      </left>
      <right style="thin">
        <color rgb="FFE36C09"/>
      </right>
      <top style="thin">
        <color rgb="FFE36C09"/>
      </top>
      <bottom style="thin">
        <color rgb="FFE36C09"/>
      </bottom>
      <diagonal/>
    </border>
    <border>
      <left style="thin">
        <color rgb="FF856404"/>
      </left>
      <right style="thin">
        <color rgb="FF856404"/>
      </right>
      <top style="thin">
        <color rgb="FF856404"/>
      </top>
      <bottom style="thin">
        <color rgb="FF856404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4B0082"/>
      </left>
      <right style="thin">
        <color rgb="FF4B0082"/>
      </right>
      <top style="thin">
        <color rgb="FF4B0082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E36C09"/>
      </left>
      <right style="thin">
        <color rgb="FFE36C09"/>
      </right>
      <top style="thin">
        <color rgb="FFE36C09"/>
      </top>
      <bottom/>
      <diagonal/>
    </border>
    <border>
      <left style="thin">
        <color rgb="FF856404"/>
      </left>
      <right style="thin">
        <color rgb="FF856404"/>
      </right>
      <top style="thin">
        <color rgb="FF856404"/>
      </top>
      <bottom/>
      <diagonal/>
    </border>
    <border>
      <left style="thin">
        <color rgb="FF375623"/>
      </left>
      <right style="thin">
        <color rgb="FF375623"/>
      </right>
      <top style="thin">
        <color rgb="FF375623"/>
      </top>
      <bottom/>
      <diagonal/>
    </border>
    <border>
      <left style="thin">
        <color rgb="FF6A3D9A"/>
      </left>
      <right style="thin">
        <color rgb="FF6A3D9A"/>
      </right>
      <top style="thin">
        <color rgb="FF6A3D9A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2" fillId="11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164" fontId="6" fillId="10" borderId="2" xfId="0" applyNumberFormat="1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164" fontId="6" fillId="11" borderId="2" xfId="0" applyNumberFormat="1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top"/>
    </xf>
    <xf numFmtId="0" fontId="35" fillId="5" borderId="2" xfId="0" applyFont="1" applyFill="1" applyBorder="1" applyAlignment="1">
      <alignment horizontal="left" vertical="top" wrapText="1"/>
    </xf>
    <xf numFmtId="0" fontId="35" fillId="3" borderId="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 textRotation="90"/>
    </xf>
    <xf numFmtId="0" fontId="18" fillId="3" borderId="0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30" fillId="7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27" fillId="8" borderId="12" xfId="0" applyFont="1" applyFill="1" applyBorder="1" applyAlignment="1">
      <alignment horizontal="center" vertical="center"/>
    </xf>
    <xf numFmtId="0" fontId="28" fillId="11" borderId="13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ill>
        <patternFill>
          <bgColor rgb="FFE2EFDA"/>
        </patternFill>
      </fill>
    </dxf>
    <dxf>
      <fill>
        <patternFill>
          <bgColor rgb="FFFFD966"/>
        </patternFill>
      </fill>
    </dxf>
    <dxf>
      <fill>
        <patternFill>
          <bgColor rgb="FFFFD699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1F4E79"/>
        <name val="Arial"/>
        <charset val="1"/>
      </font>
      <fill>
        <patternFill>
          <bgColor rgb="FFD6E4F0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856404"/>
        <name val="Arial"/>
        <charset val="1"/>
      </font>
      <fill>
        <patternFill>
          <bgColor rgb="FFFFD966"/>
        </patternFill>
      </fill>
    </dxf>
    <dxf>
      <font>
        <b/>
        <color rgb="FFE36C09"/>
        <name val="Arial"/>
        <charset val="1"/>
      </font>
      <fill>
        <patternFill>
          <bgColor rgb="FFFFD699"/>
        </patternFill>
      </fill>
    </dxf>
    <dxf>
      <font>
        <b/>
        <color rgb="FFC00000"/>
        <name val="Arial"/>
        <charset val="1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08080"/>
      <rgbColor rgb="FF9999FF"/>
      <rgbColor rgb="FF6A3D9A"/>
      <rgbColor rgb="FFF2F2F2"/>
      <rgbColor rgb="FFD6E4F0"/>
      <rgbColor rgb="FF4B0082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D966"/>
      <rgbColor rgb="FF99CCFF"/>
      <rgbColor rgb="FFF4CCCC"/>
      <rgbColor rgb="FFCC99FF"/>
      <rgbColor rgb="FFFFD699"/>
      <rgbColor rgb="FF3366FF"/>
      <rgbColor rgb="FF33CCCC"/>
      <rgbColor rgb="FF99CC00"/>
      <rgbColor rgb="FFFFCC00"/>
      <rgbColor rgb="FFFF9900"/>
      <rgbColor rgb="FFE36C09"/>
      <rgbColor rgb="FF666666"/>
      <rgbColor rgb="FFAAAAAA"/>
      <rgbColor rgb="FF003366"/>
      <rgbColor rgb="FF339966"/>
      <rgbColor rgb="FF003300"/>
      <rgbColor rgb="FF375623"/>
      <rgbColor rgb="FF993300"/>
      <rgbColor rgb="FF993366"/>
      <rgbColor rgb="FF1F4E7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abSelected="1" zoomScaleNormal="100" workbookViewId="0">
      <pane ySplit="3" topLeftCell="A4" activePane="bottomLeft" state="frozen"/>
      <selection pane="bottomLeft" sqref="A1:N1"/>
    </sheetView>
  </sheetViews>
  <sheetFormatPr baseColWidth="10" defaultColWidth="8.6640625" defaultRowHeight="14.4" x14ac:dyDescent="0.3"/>
  <cols>
    <col min="1" max="1" width="6.88671875" bestFit="1" customWidth="1"/>
    <col min="2" max="2" width="12.88671875" bestFit="1" customWidth="1"/>
    <col min="3" max="3" width="10.77734375" bestFit="1" customWidth="1"/>
    <col min="4" max="4" width="42" customWidth="1"/>
    <col min="5" max="5" width="15.109375" bestFit="1" customWidth="1"/>
    <col min="6" max="6" width="11.33203125" bestFit="1" customWidth="1"/>
    <col min="7" max="7" width="13.88671875" bestFit="1" customWidth="1"/>
    <col min="8" max="8" width="9.33203125" bestFit="1" customWidth="1"/>
    <col min="9" max="9" width="13.21875" bestFit="1" customWidth="1"/>
    <col min="10" max="10" width="38" customWidth="1"/>
    <col min="11" max="11" width="21.88671875" bestFit="1" customWidth="1"/>
    <col min="12" max="12" width="15.21875" bestFit="1" customWidth="1"/>
    <col min="13" max="13" width="10.6640625" bestFit="1" customWidth="1"/>
    <col min="14" max="14" width="20.33203125" bestFit="1" customWidth="1"/>
  </cols>
  <sheetData>
    <row r="1" spans="1:14" ht="27.75" customHeight="1" x14ac:dyDescent="0.3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18" customHeight="1" x14ac:dyDescent="0.3">
      <c r="A2" s="58" t="s">
        <v>239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2.8" x14ac:dyDescent="0.3">
      <c r="A4" s="2" t="s">
        <v>15</v>
      </c>
      <c r="B4" s="3" t="s">
        <v>16</v>
      </c>
      <c r="C4" s="4" t="s">
        <v>17</v>
      </c>
      <c r="D4" s="5" t="s">
        <v>18</v>
      </c>
      <c r="E4" s="33">
        <v>4</v>
      </c>
      <c r="F4" s="33">
        <v>4</v>
      </c>
      <c r="G4" s="6">
        <f t="shared" ref="G4:G33" si="0">IF(E4="","",E4*F4)</f>
        <v>16</v>
      </c>
      <c r="H4" s="7" t="str">
        <f t="shared" ref="H4:H33" si="1">IF(G4="","",IF(G4&gt;=15,"CRÍTICO",IF(G4&gt;=8,"ALTO",IF(G4&gt;=4,"MEDIO","BAJO"))))</f>
        <v>CRÍTICO</v>
      </c>
      <c r="I4" s="8" t="s">
        <v>19</v>
      </c>
      <c r="J4" s="5" t="s">
        <v>194</v>
      </c>
      <c r="K4" s="9" t="s">
        <v>240</v>
      </c>
      <c r="L4" s="9" t="s">
        <v>241</v>
      </c>
      <c r="M4" s="9" t="s">
        <v>20</v>
      </c>
      <c r="N4" s="10" t="s">
        <v>21</v>
      </c>
    </row>
    <row r="5" spans="1:14" ht="22.8" x14ac:dyDescent="0.3">
      <c r="A5" s="81" t="s">
        <v>22</v>
      </c>
      <c r="B5" s="3" t="s">
        <v>16</v>
      </c>
      <c r="C5" s="82" t="s">
        <v>17</v>
      </c>
      <c r="D5" s="83" t="s">
        <v>165</v>
      </c>
      <c r="E5" s="84">
        <v>3</v>
      </c>
      <c r="F5" s="84">
        <v>4</v>
      </c>
      <c r="G5" s="11">
        <f t="shared" si="0"/>
        <v>12</v>
      </c>
      <c r="H5" s="12" t="str">
        <f t="shared" si="1"/>
        <v>ALTO</v>
      </c>
      <c r="I5" s="85" t="s">
        <v>25</v>
      </c>
      <c r="J5" s="83" t="s">
        <v>195</v>
      </c>
      <c r="K5" s="86" t="s">
        <v>242</v>
      </c>
      <c r="L5" s="86" t="s">
        <v>243</v>
      </c>
      <c r="M5" s="86" t="s">
        <v>20</v>
      </c>
      <c r="N5" s="87"/>
    </row>
    <row r="6" spans="1:14" ht="34.200000000000003" x14ac:dyDescent="0.3">
      <c r="A6" s="2" t="s">
        <v>24</v>
      </c>
      <c r="B6" s="3" t="s">
        <v>16</v>
      </c>
      <c r="C6" s="76" t="s">
        <v>17</v>
      </c>
      <c r="D6" s="75" t="s">
        <v>166</v>
      </c>
      <c r="E6" s="77">
        <v>3</v>
      </c>
      <c r="F6" s="77">
        <v>5</v>
      </c>
      <c r="G6" s="11">
        <f t="shared" si="0"/>
        <v>15</v>
      </c>
      <c r="H6" s="12" t="str">
        <f t="shared" si="1"/>
        <v>CRÍTICO</v>
      </c>
      <c r="I6" s="78" t="s">
        <v>19</v>
      </c>
      <c r="J6" s="75" t="s">
        <v>196</v>
      </c>
      <c r="K6" s="79" t="s">
        <v>244</v>
      </c>
      <c r="L6" s="79" t="s">
        <v>243</v>
      </c>
      <c r="M6" s="79" t="s">
        <v>20</v>
      </c>
      <c r="N6" s="80" t="s">
        <v>224</v>
      </c>
    </row>
    <row r="7" spans="1:14" ht="34.200000000000003" x14ac:dyDescent="0.3">
      <c r="A7" s="81" t="s">
        <v>26</v>
      </c>
      <c r="B7" s="3" t="s">
        <v>16</v>
      </c>
      <c r="C7" s="82" t="s">
        <v>17</v>
      </c>
      <c r="D7" s="83" t="s">
        <v>167</v>
      </c>
      <c r="E7" s="84">
        <v>4</v>
      </c>
      <c r="F7" s="84">
        <v>4</v>
      </c>
      <c r="G7" s="11">
        <f t="shared" si="0"/>
        <v>16</v>
      </c>
      <c r="H7" s="12" t="str">
        <f t="shared" si="1"/>
        <v>CRÍTICO</v>
      </c>
      <c r="I7" s="85" t="s">
        <v>19</v>
      </c>
      <c r="J7" s="83" t="s">
        <v>197</v>
      </c>
      <c r="K7" s="86" t="s">
        <v>242</v>
      </c>
      <c r="L7" s="86" t="s">
        <v>241</v>
      </c>
      <c r="M7" s="86" t="s">
        <v>20</v>
      </c>
      <c r="N7" s="87" t="s">
        <v>225</v>
      </c>
    </row>
    <row r="8" spans="1:14" ht="34.200000000000003" x14ac:dyDescent="0.3">
      <c r="A8" s="2" t="s">
        <v>29</v>
      </c>
      <c r="B8" s="3" t="s">
        <v>16</v>
      </c>
      <c r="C8" s="76" t="s">
        <v>17</v>
      </c>
      <c r="D8" s="75" t="s">
        <v>168</v>
      </c>
      <c r="E8" s="77">
        <v>2</v>
      </c>
      <c r="F8" s="77">
        <v>5</v>
      </c>
      <c r="G8" s="11">
        <f t="shared" si="0"/>
        <v>10</v>
      </c>
      <c r="H8" s="12" t="str">
        <f t="shared" si="1"/>
        <v>ALTO</v>
      </c>
      <c r="I8" s="78" t="s">
        <v>19</v>
      </c>
      <c r="J8" s="75" t="s">
        <v>198</v>
      </c>
      <c r="K8" s="79" t="s">
        <v>244</v>
      </c>
      <c r="L8" s="79" t="s">
        <v>241</v>
      </c>
      <c r="M8" s="79" t="s">
        <v>20</v>
      </c>
      <c r="N8" s="10" t="s">
        <v>226</v>
      </c>
    </row>
    <row r="9" spans="1:14" ht="34.200000000000003" x14ac:dyDescent="0.3">
      <c r="A9" s="81" t="s">
        <v>31</v>
      </c>
      <c r="B9" s="3" t="s">
        <v>16</v>
      </c>
      <c r="C9" s="82" t="s">
        <v>17</v>
      </c>
      <c r="D9" s="83" t="s">
        <v>169</v>
      </c>
      <c r="E9" s="84">
        <v>2</v>
      </c>
      <c r="F9" s="84">
        <v>5</v>
      </c>
      <c r="G9" s="6">
        <f t="shared" si="0"/>
        <v>10</v>
      </c>
      <c r="H9" s="7" t="str">
        <f t="shared" si="1"/>
        <v>ALTO</v>
      </c>
      <c r="I9" s="85" t="s">
        <v>25</v>
      </c>
      <c r="J9" s="83" t="s">
        <v>199</v>
      </c>
      <c r="K9" s="82" t="s">
        <v>245</v>
      </c>
      <c r="L9" s="86" t="s">
        <v>243</v>
      </c>
      <c r="M9" s="86" t="s">
        <v>20</v>
      </c>
      <c r="N9" s="87" t="s">
        <v>227</v>
      </c>
    </row>
    <row r="10" spans="1:14" ht="22.8" x14ac:dyDescent="0.3">
      <c r="A10" s="2" t="s">
        <v>34</v>
      </c>
      <c r="B10" s="3" t="s">
        <v>23</v>
      </c>
      <c r="C10" s="4" t="s">
        <v>17</v>
      </c>
      <c r="D10" s="5" t="s">
        <v>170</v>
      </c>
      <c r="E10" s="33">
        <v>3</v>
      </c>
      <c r="F10" s="33">
        <v>4</v>
      </c>
      <c r="G10" s="6">
        <f t="shared" si="0"/>
        <v>12</v>
      </c>
      <c r="H10" s="7" t="str">
        <f t="shared" si="1"/>
        <v>ALTO</v>
      </c>
      <c r="I10" s="8" t="s">
        <v>19</v>
      </c>
      <c r="J10" s="5" t="s">
        <v>200</v>
      </c>
      <c r="K10" s="9" t="s">
        <v>240</v>
      </c>
      <c r="L10" s="9" t="s">
        <v>243</v>
      </c>
      <c r="M10" s="9" t="s">
        <v>20</v>
      </c>
      <c r="N10" s="10"/>
    </row>
    <row r="11" spans="1:14" ht="34.200000000000003" x14ac:dyDescent="0.3">
      <c r="A11" s="81" t="s">
        <v>36</v>
      </c>
      <c r="B11" s="3" t="s">
        <v>23</v>
      </c>
      <c r="C11" s="82" t="s">
        <v>17</v>
      </c>
      <c r="D11" s="83" t="s">
        <v>171</v>
      </c>
      <c r="E11" s="84">
        <v>3</v>
      </c>
      <c r="F11" s="84">
        <v>3</v>
      </c>
      <c r="G11" s="11">
        <f t="shared" si="0"/>
        <v>9</v>
      </c>
      <c r="H11" s="12" t="str">
        <f t="shared" si="1"/>
        <v>ALTO</v>
      </c>
      <c r="I11" s="85" t="s">
        <v>19</v>
      </c>
      <c r="J11" s="83" t="s">
        <v>201</v>
      </c>
      <c r="K11" s="86" t="s">
        <v>240</v>
      </c>
      <c r="L11" s="86" t="s">
        <v>246</v>
      </c>
      <c r="M11" s="86" t="s">
        <v>20</v>
      </c>
      <c r="N11" s="87"/>
    </row>
    <row r="12" spans="1:14" ht="22.8" x14ac:dyDescent="0.3">
      <c r="A12" s="2" t="s">
        <v>40</v>
      </c>
      <c r="B12" s="3" t="s">
        <v>23</v>
      </c>
      <c r="C12" s="4" t="s">
        <v>17</v>
      </c>
      <c r="D12" s="5" t="s">
        <v>172</v>
      </c>
      <c r="E12" s="33">
        <v>4</v>
      </c>
      <c r="F12" s="33">
        <v>3</v>
      </c>
      <c r="G12" s="6">
        <f t="shared" si="0"/>
        <v>12</v>
      </c>
      <c r="H12" s="7" t="str">
        <f t="shared" si="1"/>
        <v>ALTO</v>
      </c>
      <c r="I12" s="8" t="s">
        <v>19</v>
      </c>
      <c r="J12" s="5" t="s">
        <v>202</v>
      </c>
      <c r="K12" s="9" t="s">
        <v>240</v>
      </c>
      <c r="L12" s="9" t="s">
        <v>246</v>
      </c>
      <c r="M12" s="9" t="s">
        <v>20</v>
      </c>
      <c r="N12" s="80"/>
    </row>
    <row r="13" spans="1:14" ht="22.8" x14ac:dyDescent="0.3">
      <c r="A13" s="81" t="s">
        <v>41</v>
      </c>
      <c r="B13" s="3" t="s">
        <v>23</v>
      </c>
      <c r="C13" s="82" t="s">
        <v>17</v>
      </c>
      <c r="D13" s="83" t="s">
        <v>173</v>
      </c>
      <c r="E13" s="84">
        <v>2</v>
      </c>
      <c r="F13" s="84">
        <v>4</v>
      </c>
      <c r="G13" s="11">
        <f t="shared" si="0"/>
        <v>8</v>
      </c>
      <c r="H13" s="12" t="str">
        <f t="shared" si="1"/>
        <v>ALTO</v>
      </c>
      <c r="I13" s="85" t="s">
        <v>19</v>
      </c>
      <c r="J13" s="83" t="s">
        <v>203</v>
      </c>
      <c r="K13" s="86" t="s">
        <v>240</v>
      </c>
      <c r="L13" s="86" t="s">
        <v>246</v>
      </c>
      <c r="M13" s="86" t="s">
        <v>28</v>
      </c>
      <c r="N13" s="87"/>
    </row>
    <row r="14" spans="1:14" ht="34.200000000000003" x14ac:dyDescent="0.3">
      <c r="A14" s="2" t="s">
        <v>42</v>
      </c>
      <c r="B14" s="3" t="s">
        <v>23</v>
      </c>
      <c r="C14" s="4" t="s">
        <v>17</v>
      </c>
      <c r="D14" s="5" t="s">
        <v>174</v>
      </c>
      <c r="E14" s="33">
        <v>2</v>
      </c>
      <c r="F14" s="33">
        <v>3</v>
      </c>
      <c r="G14" s="6">
        <f t="shared" si="0"/>
        <v>6</v>
      </c>
      <c r="H14" s="7" t="str">
        <f t="shared" si="1"/>
        <v>MEDIO</v>
      </c>
      <c r="I14" s="8" t="s">
        <v>19</v>
      </c>
      <c r="J14" s="5" t="s">
        <v>204</v>
      </c>
      <c r="K14" s="9" t="s">
        <v>240</v>
      </c>
      <c r="L14" s="9" t="s">
        <v>243</v>
      </c>
      <c r="M14" s="9" t="s">
        <v>20</v>
      </c>
      <c r="N14" s="80"/>
    </row>
    <row r="15" spans="1:14" ht="22.8" x14ac:dyDescent="0.3">
      <c r="A15" s="81" t="s">
        <v>43</v>
      </c>
      <c r="B15" s="3" t="s">
        <v>23</v>
      </c>
      <c r="C15" s="82" t="s">
        <v>17</v>
      </c>
      <c r="D15" s="83" t="s">
        <v>175</v>
      </c>
      <c r="E15" s="84">
        <v>3</v>
      </c>
      <c r="F15" s="84">
        <v>3</v>
      </c>
      <c r="G15" s="11">
        <f t="shared" si="0"/>
        <v>9</v>
      </c>
      <c r="H15" s="12" t="str">
        <f t="shared" si="1"/>
        <v>ALTO</v>
      </c>
      <c r="I15" s="85" t="s">
        <v>19</v>
      </c>
      <c r="J15" s="83" t="s">
        <v>205</v>
      </c>
      <c r="K15" s="86" t="s">
        <v>240</v>
      </c>
      <c r="L15" s="86" t="s">
        <v>246</v>
      </c>
      <c r="M15" s="86" t="s">
        <v>20</v>
      </c>
      <c r="N15" s="87"/>
    </row>
    <row r="16" spans="1:14" ht="34.200000000000003" x14ac:dyDescent="0.3">
      <c r="A16" s="2" t="s">
        <v>44</v>
      </c>
      <c r="B16" s="3" t="s">
        <v>30</v>
      </c>
      <c r="C16" s="4" t="s">
        <v>17</v>
      </c>
      <c r="D16" s="5" t="s">
        <v>176</v>
      </c>
      <c r="E16" s="33">
        <v>3</v>
      </c>
      <c r="F16" s="33">
        <v>5</v>
      </c>
      <c r="G16" s="6">
        <f t="shared" si="0"/>
        <v>15</v>
      </c>
      <c r="H16" s="7" t="str">
        <f t="shared" si="1"/>
        <v>CRÍTICO</v>
      </c>
      <c r="I16" s="8" t="s">
        <v>19</v>
      </c>
      <c r="J16" s="5" t="s">
        <v>206</v>
      </c>
      <c r="K16" s="9" t="s">
        <v>247</v>
      </c>
      <c r="L16" s="9" t="s">
        <v>241</v>
      </c>
      <c r="M16" s="9" t="s">
        <v>20</v>
      </c>
      <c r="N16" s="80" t="s">
        <v>228</v>
      </c>
    </row>
    <row r="17" spans="1:14" ht="34.200000000000003" x14ac:dyDescent="0.3">
      <c r="A17" s="81" t="s">
        <v>45</v>
      </c>
      <c r="B17" s="3" t="s">
        <v>30</v>
      </c>
      <c r="C17" s="82" t="s">
        <v>17</v>
      </c>
      <c r="D17" s="83" t="s">
        <v>177</v>
      </c>
      <c r="E17" s="84">
        <v>2</v>
      </c>
      <c r="F17" s="84">
        <v>3</v>
      </c>
      <c r="G17" s="11">
        <f t="shared" si="0"/>
        <v>6</v>
      </c>
      <c r="H17" s="12" t="str">
        <f t="shared" si="1"/>
        <v>MEDIO</v>
      </c>
      <c r="I17" s="85" t="s">
        <v>19</v>
      </c>
      <c r="J17" s="83" t="s">
        <v>207</v>
      </c>
      <c r="K17" s="82" t="s">
        <v>248</v>
      </c>
      <c r="L17" s="86" t="s">
        <v>243</v>
      </c>
      <c r="M17" s="86" t="s">
        <v>20</v>
      </c>
      <c r="N17" s="87"/>
    </row>
    <row r="18" spans="1:14" ht="22.8" x14ac:dyDescent="0.3">
      <c r="A18" s="2" t="s">
        <v>46</v>
      </c>
      <c r="B18" s="3" t="s">
        <v>30</v>
      </c>
      <c r="C18" s="4" t="s">
        <v>17</v>
      </c>
      <c r="D18" s="5" t="s">
        <v>178</v>
      </c>
      <c r="E18" s="33">
        <v>3</v>
      </c>
      <c r="F18" s="33">
        <v>5</v>
      </c>
      <c r="G18" s="6">
        <f t="shared" si="0"/>
        <v>15</v>
      </c>
      <c r="H18" s="7" t="str">
        <f t="shared" si="1"/>
        <v>CRÍTICO</v>
      </c>
      <c r="I18" s="8" t="s">
        <v>19</v>
      </c>
      <c r="J18" s="5" t="s">
        <v>208</v>
      </c>
      <c r="K18" s="4" t="s">
        <v>249</v>
      </c>
      <c r="L18" s="9" t="s">
        <v>241</v>
      </c>
      <c r="M18" s="9" t="s">
        <v>20</v>
      </c>
      <c r="N18" s="10" t="s">
        <v>229</v>
      </c>
    </row>
    <row r="19" spans="1:14" ht="34.200000000000003" x14ac:dyDescent="0.3">
      <c r="A19" s="81" t="s">
        <v>47</v>
      </c>
      <c r="B19" s="3" t="s">
        <v>30</v>
      </c>
      <c r="C19" s="82" t="s">
        <v>17</v>
      </c>
      <c r="D19" s="83" t="s">
        <v>179</v>
      </c>
      <c r="E19" s="84">
        <v>2</v>
      </c>
      <c r="F19" s="84">
        <v>4</v>
      </c>
      <c r="G19" s="11">
        <f t="shared" si="0"/>
        <v>8</v>
      </c>
      <c r="H19" s="12" t="str">
        <f t="shared" si="1"/>
        <v>ALTO</v>
      </c>
      <c r="I19" s="85" t="s">
        <v>19</v>
      </c>
      <c r="J19" s="83" t="s">
        <v>209</v>
      </c>
      <c r="K19" s="82" t="s">
        <v>250</v>
      </c>
      <c r="L19" s="86" t="s">
        <v>241</v>
      </c>
      <c r="M19" s="86" t="s">
        <v>20</v>
      </c>
      <c r="N19" s="87" t="s">
        <v>230</v>
      </c>
    </row>
    <row r="20" spans="1:14" ht="34.200000000000003" x14ac:dyDescent="0.3">
      <c r="A20" s="2" t="s">
        <v>151</v>
      </c>
      <c r="B20" s="3" t="s">
        <v>35</v>
      </c>
      <c r="C20" s="4" t="s">
        <v>17</v>
      </c>
      <c r="D20" s="5" t="s">
        <v>180</v>
      </c>
      <c r="E20" s="33">
        <v>3</v>
      </c>
      <c r="F20" s="33">
        <v>4</v>
      </c>
      <c r="G20" s="6">
        <f t="shared" si="0"/>
        <v>12</v>
      </c>
      <c r="H20" s="7" t="str">
        <f t="shared" si="1"/>
        <v>ALTO</v>
      </c>
      <c r="I20" s="8" t="s">
        <v>19</v>
      </c>
      <c r="J20" s="5" t="s">
        <v>210</v>
      </c>
      <c r="K20" s="4" t="s">
        <v>251</v>
      </c>
      <c r="L20" s="9" t="s">
        <v>243</v>
      </c>
      <c r="M20" s="9" t="s">
        <v>20</v>
      </c>
      <c r="N20" s="10" t="s">
        <v>231</v>
      </c>
    </row>
    <row r="21" spans="1:14" ht="34.200000000000003" x14ac:dyDescent="0.3">
      <c r="A21" s="81" t="s">
        <v>152</v>
      </c>
      <c r="B21" s="3" t="s">
        <v>35</v>
      </c>
      <c r="C21" s="82" t="s">
        <v>17</v>
      </c>
      <c r="D21" s="83" t="s">
        <v>181</v>
      </c>
      <c r="E21" s="84">
        <v>4</v>
      </c>
      <c r="F21" s="84">
        <v>3</v>
      </c>
      <c r="G21" s="11">
        <f t="shared" si="0"/>
        <v>12</v>
      </c>
      <c r="H21" s="12" t="str">
        <f t="shared" si="1"/>
        <v>ALTO</v>
      </c>
      <c r="I21" s="85" t="s">
        <v>19</v>
      </c>
      <c r="J21" s="83" t="s">
        <v>211</v>
      </c>
      <c r="K21" s="86" t="s">
        <v>252</v>
      </c>
      <c r="L21" s="86" t="s">
        <v>241</v>
      </c>
      <c r="M21" s="86" t="s">
        <v>20</v>
      </c>
      <c r="N21" s="87" t="s">
        <v>232</v>
      </c>
    </row>
    <row r="22" spans="1:14" ht="22.8" x14ac:dyDescent="0.3">
      <c r="A22" s="2" t="s">
        <v>153</v>
      </c>
      <c r="B22" s="3" t="s">
        <v>35</v>
      </c>
      <c r="C22" s="4" t="s">
        <v>17</v>
      </c>
      <c r="D22" s="5" t="s">
        <v>182</v>
      </c>
      <c r="E22" s="33">
        <v>2</v>
      </c>
      <c r="F22" s="33">
        <v>4</v>
      </c>
      <c r="G22" s="6">
        <f t="shared" si="0"/>
        <v>8</v>
      </c>
      <c r="H22" s="7" t="str">
        <f t="shared" si="1"/>
        <v>ALTO</v>
      </c>
      <c r="I22" s="8" t="s">
        <v>19</v>
      </c>
      <c r="J22" s="5" t="s">
        <v>212</v>
      </c>
      <c r="K22" s="9" t="s">
        <v>244</v>
      </c>
      <c r="L22" s="9" t="s">
        <v>241</v>
      </c>
      <c r="M22" s="9" t="s">
        <v>20</v>
      </c>
      <c r="N22" s="80" t="s">
        <v>233</v>
      </c>
    </row>
    <row r="23" spans="1:14" ht="34.200000000000003" x14ac:dyDescent="0.3">
      <c r="A23" s="81" t="s">
        <v>154</v>
      </c>
      <c r="B23" s="3" t="s">
        <v>35</v>
      </c>
      <c r="C23" s="82" t="s">
        <v>17</v>
      </c>
      <c r="D23" s="83" t="s">
        <v>183</v>
      </c>
      <c r="E23" s="84">
        <v>2</v>
      </c>
      <c r="F23" s="84">
        <v>5</v>
      </c>
      <c r="G23" s="11">
        <f t="shared" si="0"/>
        <v>10</v>
      </c>
      <c r="H23" s="12" t="str">
        <f t="shared" si="1"/>
        <v>ALTO</v>
      </c>
      <c r="I23" s="85" t="s">
        <v>19</v>
      </c>
      <c r="J23" s="83" t="s">
        <v>213</v>
      </c>
      <c r="K23" s="86" t="s">
        <v>244</v>
      </c>
      <c r="L23" s="86" t="s">
        <v>253</v>
      </c>
      <c r="M23" s="86" t="s">
        <v>20</v>
      </c>
      <c r="N23" s="87" t="s">
        <v>234</v>
      </c>
    </row>
    <row r="24" spans="1:14" ht="34.200000000000003" x14ac:dyDescent="0.3">
      <c r="A24" s="2" t="s">
        <v>155</v>
      </c>
      <c r="B24" s="3" t="s">
        <v>35</v>
      </c>
      <c r="C24" s="4" t="s">
        <v>17</v>
      </c>
      <c r="D24" s="5" t="s">
        <v>184</v>
      </c>
      <c r="E24" s="33">
        <v>2</v>
      </c>
      <c r="F24" s="33">
        <v>3</v>
      </c>
      <c r="G24" s="6">
        <f t="shared" si="0"/>
        <v>6</v>
      </c>
      <c r="H24" s="7" t="str">
        <f t="shared" si="1"/>
        <v>MEDIO</v>
      </c>
      <c r="I24" s="8" t="s">
        <v>25</v>
      </c>
      <c r="J24" s="5" t="s">
        <v>214</v>
      </c>
      <c r="K24" s="9" t="s">
        <v>244</v>
      </c>
      <c r="L24" s="9" t="s">
        <v>243</v>
      </c>
      <c r="M24" s="9" t="s">
        <v>20</v>
      </c>
      <c r="N24" s="80" t="s">
        <v>235</v>
      </c>
    </row>
    <row r="25" spans="1:14" ht="34.200000000000003" x14ac:dyDescent="0.3">
      <c r="A25" s="81" t="s">
        <v>156</v>
      </c>
      <c r="B25" s="3" t="s">
        <v>27</v>
      </c>
      <c r="C25" s="82" t="s">
        <v>17</v>
      </c>
      <c r="D25" s="83" t="s">
        <v>254</v>
      </c>
      <c r="E25" s="84">
        <v>3</v>
      </c>
      <c r="F25" s="84">
        <v>4</v>
      </c>
      <c r="G25" s="11">
        <f t="shared" si="0"/>
        <v>12</v>
      </c>
      <c r="H25" s="12" t="str">
        <f t="shared" si="1"/>
        <v>ALTO</v>
      </c>
      <c r="I25" s="85" t="s">
        <v>19</v>
      </c>
      <c r="J25" s="83" t="s">
        <v>215</v>
      </c>
      <c r="K25" s="86" t="s">
        <v>240</v>
      </c>
      <c r="L25" s="86" t="s">
        <v>246</v>
      </c>
      <c r="M25" s="86" t="s">
        <v>20</v>
      </c>
      <c r="N25" s="87"/>
    </row>
    <row r="26" spans="1:14" ht="34.200000000000003" x14ac:dyDescent="0.3">
      <c r="A26" s="2" t="s">
        <v>157</v>
      </c>
      <c r="B26" s="3" t="s">
        <v>27</v>
      </c>
      <c r="C26" s="4" t="s">
        <v>17</v>
      </c>
      <c r="D26" s="5" t="s">
        <v>185</v>
      </c>
      <c r="E26" s="33">
        <v>2</v>
      </c>
      <c r="F26" s="33">
        <v>3</v>
      </c>
      <c r="G26" s="6">
        <f t="shared" si="0"/>
        <v>6</v>
      </c>
      <c r="H26" s="7" t="str">
        <f t="shared" si="1"/>
        <v>MEDIO</v>
      </c>
      <c r="I26" s="8" t="s">
        <v>19</v>
      </c>
      <c r="J26" s="5" t="s">
        <v>216</v>
      </c>
      <c r="K26" s="9" t="s">
        <v>240</v>
      </c>
      <c r="L26" s="9" t="s">
        <v>246</v>
      </c>
      <c r="M26" s="9" t="s">
        <v>28</v>
      </c>
      <c r="N26" s="10"/>
    </row>
    <row r="27" spans="1:14" ht="34.200000000000003" x14ac:dyDescent="0.3">
      <c r="A27" s="81" t="s">
        <v>158</v>
      </c>
      <c r="B27" s="3" t="s">
        <v>27</v>
      </c>
      <c r="C27" s="82" t="s">
        <v>17</v>
      </c>
      <c r="D27" s="83" t="s">
        <v>186</v>
      </c>
      <c r="E27" s="84">
        <v>2</v>
      </c>
      <c r="F27" s="84">
        <v>3</v>
      </c>
      <c r="G27" s="11">
        <f t="shared" si="0"/>
        <v>6</v>
      </c>
      <c r="H27" s="12" t="str">
        <f t="shared" si="1"/>
        <v>MEDIO</v>
      </c>
      <c r="I27" s="85" t="s">
        <v>19</v>
      </c>
      <c r="J27" s="83" t="s">
        <v>217</v>
      </c>
      <c r="K27" s="86" t="s">
        <v>240</v>
      </c>
      <c r="L27" s="86" t="s">
        <v>243</v>
      </c>
      <c r="M27" s="86" t="s">
        <v>20</v>
      </c>
      <c r="N27" s="87"/>
    </row>
    <row r="28" spans="1:14" ht="34.200000000000003" x14ac:dyDescent="0.3">
      <c r="A28" s="2" t="s">
        <v>159</v>
      </c>
      <c r="B28" s="3" t="s">
        <v>32</v>
      </c>
      <c r="C28" s="4" t="s">
        <v>17</v>
      </c>
      <c r="D28" s="5" t="s">
        <v>187</v>
      </c>
      <c r="E28" s="33">
        <v>1</v>
      </c>
      <c r="F28" s="33">
        <v>5</v>
      </c>
      <c r="G28" s="6">
        <f t="shared" si="0"/>
        <v>5</v>
      </c>
      <c r="H28" s="7" t="str">
        <f t="shared" si="1"/>
        <v>MEDIO</v>
      </c>
      <c r="I28" s="8" t="s">
        <v>193</v>
      </c>
      <c r="J28" s="5" t="s">
        <v>218</v>
      </c>
      <c r="K28" s="9" t="s">
        <v>255</v>
      </c>
      <c r="L28" s="9" t="s">
        <v>246</v>
      </c>
      <c r="M28" s="9" t="s">
        <v>28</v>
      </c>
      <c r="N28" s="80" t="s">
        <v>236</v>
      </c>
    </row>
    <row r="29" spans="1:14" ht="34.200000000000003" x14ac:dyDescent="0.3">
      <c r="A29" s="81" t="s">
        <v>160</v>
      </c>
      <c r="B29" s="3" t="s">
        <v>32</v>
      </c>
      <c r="C29" s="82" t="s">
        <v>17</v>
      </c>
      <c r="D29" s="83" t="s">
        <v>188</v>
      </c>
      <c r="E29" s="84">
        <v>2</v>
      </c>
      <c r="F29" s="84">
        <v>3</v>
      </c>
      <c r="G29" s="6">
        <f t="shared" si="0"/>
        <v>6</v>
      </c>
      <c r="H29" s="7" t="str">
        <f t="shared" si="1"/>
        <v>MEDIO</v>
      </c>
      <c r="I29" s="85" t="s">
        <v>33</v>
      </c>
      <c r="J29" s="83" t="s">
        <v>219</v>
      </c>
      <c r="K29" s="86" t="s">
        <v>244</v>
      </c>
      <c r="L29" s="86" t="s">
        <v>241</v>
      </c>
      <c r="M29" s="86" t="s">
        <v>20</v>
      </c>
      <c r="N29" s="87"/>
    </row>
    <row r="30" spans="1:14" ht="34.200000000000003" x14ac:dyDescent="0.3">
      <c r="A30" s="2" t="s">
        <v>161</v>
      </c>
      <c r="B30" s="3" t="s">
        <v>32</v>
      </c>
      <c r="C30" s="76" t="s">
        <v>17</v>
      </c>
      <c r="D30" s="75" t="s">
        <v>189</v>
      </c>
      <c r="E30" s="77">
        <v>2</v>
      </c>
      <c r="F30" s="77">
        <v>4</v>
      </c>
      <c r="G30" s="11">
        <f t="shared" si="0"/>
        <v>8</v>
      </c>
      <c r="H30" s="12" t="str">
        <f t="shared" si="1"/>
        <v>ALTO</v>
      </c>
      <c r="I30" s="78" t="s">
        <v>19</v>
      </c>
      <c r="J30" s="75" t="s">
        <v>220</v>
      </c>
      <c r="K30" s="76" t="s">
        <v>256</v>
      </c>
      <c r="L30" s="79" t="s">
        <v>241</v>
      </c>
      <c r="M30" s="79" t="s">
        <v>20</v>
      </c>
      <c r="N30" s="80"/>
    </row>
    <row r="31" spans="1:14" ht="34.200000000000003" x14ac:dyDescent="0.3">
      <c r="A31" s="81" t="s">
        <v>162</v>
      </c>
      <c r="B31" s="3" t="s">
        <v>16</v>
      </c>
      <c r="C31" s="82" t="s">
        <v>37</v>
      </c>
      <c r="D31" s="83" t="s">
        <v>190</v>
      </c>
      <c r="E31" s="84">
        <v>3</v>
      </c>
      <c r="F31" s="84">
        <v>3</v>
      </c>
      <c r="G31" s="6">
        <f t="shared" si="0"/>
        <v>9</v>
      </c>
      <c r="H31" s="7" t="str">
        <f t="shared" si="1"/>
        <v>ALTO</v>
      </c>
      <c r="I31" s="85" t="s">
        <v>38</v>
      </c>
      <c r="J31" s="83" t="s">
        <v>221</v>
      </c>
      <c r="K31" s="86" t="s">
        <v>242</v>
      </c>
      <c r="L31" s="86" t="s">
        <v>243</v>
      </c>
      <c r="M31" s="86" t="s">
        <v>20</v>
      </c>
      <c r="N31" s="87" t="s">
        <v>237</v>
      </c>
    </row>
    <row r="32" spans="1:14" ht="34.200000000000003" x14ac:dyDescent="0.3">
      <c r="A32" s="2" t="s">
        <v>163</v>
      </c>
      <c r="B32" s="3" t="s">
        <v>23</v>
      </c>
      <c r="C32" s="76" t="s">
        <v>37</v>
      </c>
      <c r="D32" s="75" t="s">
        <v>191</v>
      </c>
      <c r="E32" s="77">
        <v>3</v>
      </c>
      <c r="F32" s="77">
        <v>3</v>
      </c>
      <c r="G32" s="11">
        <f t="shared" si="0"/>
        <v>9</v>
      </c>
      <c r="H32" s="12" t="str">
        <f t="shared" si="1"/>
        <v>ALTO</v>
      </c>
      <c r="I32" s="78" t="s">
        <v>38</v>
      </c>
      <c r="J32" s="75" t="s">
        <v>222</v>
      </c>
      <c r="K32" s="79" t="s">
        <v>240</v>
      </c>
      <c r="L32" s="79" t="s">
        <v>246</v>
      </c>
      <c r="M32" s="79" t="s">
        <v>20</v>
      </c>
      <c r="N32" s="80" t="s">
        <v>39</v>
      </c>
    </row>
    <row r="33" spans="1:14" ht="34.200000000000003" x14ac:dyDescent="0.3">
      <c r="A33" s="81" t="s">
        <v>164</v>
      </c>
      <c r="B33" s="3" t="s">
        <v>32</v>
      </c>
      <c r="C33" s="82" t="s">
        <v>37</v>
      </c>
      <c r="D33" s="83" t="s">
        <v>192</v>
      </c>
      <c r="E33" s="84">
        <v>4</v>
      </c>
      <c r="F33" s="84">
        <v>4</v>
      </c>
      <c r="G33" s="6">
        <f t="shared" si="0"/>
        <v>16</v>
      </c>
      <c r="H33" s="7" t="str">
        <f t="shared" si="1"/>
        <v>CRÍTICO</v>
      </c>
      <c r="I33" s="85" t="s">
        <v>38</v>
      </c>
      <c r="J33" s="83" t="s">
        <v>223</v>
      </c>
      <c r="K33" s="86" t="s">
        <v>240</v>
      </c>
      <c r="L33" s="86" t="s">
        <v>241</v>
      </c>
      <c r="M33" s="86" t="s">
        <v>20</v>
      </c>
      <c r="N33" s="87" t="s">
        <v>238</v>
      </c>
    </row>
  </sheetData>
  <mergeCells count="2">
    <mergeCell ref="A1:N1"/>
    <mergeCell ref="A2:N2"/>
  </mergeCells>
  <phoneticPr fontId="36" type="noConversion"/>
  <conditionalFormatting sqref="H4:H33">
    <cfRule type="cellIs" dxfId="8" priority="2" operator="equal">
      <formula>"CRÍTICO"</formula>
    </cfRule>
    <cfRule type="cellIs" dxfId="7" priority="3" operator="equal">
      <formula>"ALTO"</formula>
    </cfRule>
    <cfRule type="cellIs" dxfId="6" priority="4" operator="equal">
      <formula>"MEDIO"</formula>
    </cfRule>
    <cfRule type="cellIs" dxfId="5" priority="5" operator="equal">
      <formula>"BAJO"</formula>
    </cfRule>
    <cfRule type="cellIs" dxfId="4" priority="6" operator="equal">
      <formula>"OPORT."</formula>
    </cfRule>
  </conditionalFormatting>
  <conditionalFormatting sqref="G4:G33">
    <cfRule type="cellIs" dxfId="3" priority="7" operator="greaterThanOrEqual">
      <formula>15</formula>
    </cfRule>
    <cfRule type="cellIs" dxfId="2" priority="8" operator="between">
      <formula>8</formula>
      <formula>14</formula>
    </cfRule>
    <cfRule type="cellIs" dxfId="1" priority="9" operator="between">
      <formula>4</formula>
      <formula>7</formula>
    </cfRule>
    <cfRule type="cellIs" dxfId="0" priority="10" operator="between">
      <formula>1</formula>
      <formula>3</formula>
    </cfRule>
  </conditionalFormatting>
  <dataValidations count="5">
    <dataValidation type="list" allowBlank="1" sqref="B4:B33" xr:uid="{00000000-0002-0000-0000-000000000000}">
      <formula1>"TEC,GES,ORG,EXT,REQ,CAL"</formula1>
      <formula2>0</formula2>
    </dataValidation>
    <dataValidation type="list" allowBlank="1" sqref="C4:C33" xr:uid="{00000000-0002-0000-0000-000001000000}">
      <formula1>"Negativo,Positivo (Oportunidad)"</formula1>
      <formula2>0</formula2>
    </dataValidation>
    <dataValidation type="whole" allowBlank="1" showErrorMessage="1" errorTitle="Valor inválido" error="Ingrese un valor entre 1 y 5." sqref="E4:F33" xr:uid="{00000000-0002-0000-0000-000002000000}">
      <formula1>1</formula1>
      <formula2>5</formula2>
    </dataValidation>
    <dataValidation type="list" allowBlank="1" sqref="I4:I33" xr:uid="{00000000-0002-0000-0000-000003000000}">
      <formula1>"EVITAR,TRANSFERIR,MITIGAR,ACEPTAR,EXPLOTAR"</formula1>
      <formula2>0</formula2>
    </dataValidation>
    <dataValidation type="list" allowBlank="1" sqref="M4:M33" xr:uid="{00000000-0002-0000-0000-000004000000}">
      <formula1>"Activo,En monitoreo,Materializado,Cerrado"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zoomScaleNormal="100" workbookViewId="0">
      <selection activeCell="E4" sqref="E4"/>
    </sheetView>
  </sheetViews>
  <sheetFormatPr baseColWidth="10" defaultColWidth="8.6640625" defaultRowHeight="14.4" x14ac:dyDescent="0.3"/>
  <cols>
    <col min="1" max="1" width="5" customWidth="1"/>
    <col min="2" max="7" width="14" customWidth="1"/>
  </cols>
  <sheetData>
    <row r="1" spans="1:9" ht="27.75" customHeight="1" x14ac:dyDescent="0.3">
      <c r="A1" s="57" t="s">
        <v>48</v>
      </c>
      <c r="B1" s="57"/>
      <c r="C1" s="57"/>
      <c r="D1" s="57"/>
      <c r="E1" s="57"/>
      <c r="F1" s="57"/>
      <c r="G1" s="57"/>
    </row>
    <row r="2" spans="1:9" ht="15.75" customHeight="1" x14ac:dyDescent="0.3">
      <c r="A2" s="61" t="s">
        <v>49</v>
      </c>
      <c r="B2" s="61"/>
      <c r="C2" s="61"/>
      <c r="D2" s="61"/>
      <c r="E2" s="61"/>
      <c r="F2" s="61"/>
      <c r="G2" s="61"/>
    </row>
    <row r="3" spans="1:9" ht="30" customHeight="1" x14ac:dyDescent="0.3">
      <c r="B3" s="15" t="s">
        <v>50</v>
      </c>
      <c r="C3" s="16" t="s">
        <v>51</v>
      </c>
      <c r="D3" s="16" t="s">
        <v>52</v>
      </c>
      <c r="E3" s="16" t="s">
        <v>53</v>
      </c>
      <c r="F3" s="16" t="s">
        <v>54</v>
      </c>
      <c r="G3" s="16" t="s">
        <v>55</v>
      </c>
    </row>
    <row r="4" spans="1:9" ht="39.75" customHeight="1" x14ac:dyDescent="0.3">
      <c r="A4" s="62" t="s">
        <v>56</v>
      </c>
      <c r="B4" s="17" t="s">
        <v>57</v>
      </c>
      <c r="C4" s="18" t="s">
        <v>58</v>
      </c>
      <c r="D4" s="19" t="s">
        <v>59</v>
      </c>
      <c r="E4" s="20" t="s">
        <v>60</v>
      </c>
      <c r="F4" s="20" t="s">
        <v>61</v>
      </c>
      <c r="G4" s="20" t="s">
        <v>62</v>
      </c>
    </row>
    <row r="5" spans="1:9" ht="39.75" customHeight="1" x14ac:dyDescent="0.3">
      <c r="A5" s="62"/>
      <c r="B5" s="17" t="s">
        <v>63</v>
      </c>
      <c r="C5" s="18" t="s">
        <v>64</v>
      </c>
      <c r="D5" s="19" t="s">
        <v>65</v>
      </c>
      <c r="E5" s="19" t="s">
        <v>66</v>
      </c>
      <c r="F5" s="20" t="s">
        <v>67</v>
      </c>
      <c r="G5" s="20" t="s">
        <v>61</v>
      </c>
    </row>
    <row r="6" spans="1:9" ht="39.75" customHeight="1" x14ac:dyDescent="0.3">
      <c r="A6" s="62"/>
      <c r="B6" s="17" t="s">
        <v>68</v>
      </c>
      <c r="C6" s="21" t="s">
        <v>69</v>
      </c>
      <c r="D6" s="18" t="s">
        <v>70</v>
      </c>
      <c r="E6" s="19" t="s">
        <v>71</v>
      </c>
      <c r="F6" s="19" t="s">
        <v>66</v>
      </c>
      <c r="G6" s="20" t="s">
        <v>60</v>
      </c>
    </row>
    <row r="7" spans="1:9" ht="39.75" customHeight="1" x14ac:dyDescent="0.3">
      <c r="A7" s="62"/>
      <c r="B7" s="17" t="s">
        <v>72</v>
      </c>
      <c r="C7" s="21" t="s">
        <v>73</v>
      </c>
      <c r="D7" s="21" t="s">
        <v>74</v>
      </c>
      <c r="E7" s="18" t="s">
        <v>70</v>
      </c>
      <c r="F7" s="19" t="s">
        <v>65</v>
      </c>
      <c r="G7" s="19" t="s">
        <v>59</v>
      </c>
    </row>
    <row r="8" spans="1:9" ht="39.75" customHeight="1" x14ac:dyDescent="0.3">
      <c r="A8" s="62"/>
      <c r="B8" s="17" t="s">
        <v>75</v>
      </c>
      <c r="C8" s="21" t="s">
        <v>76</v>
      </c>
      <c r="D8" s="21" t="s">
        <v>73</v>
      </c>
      <c r="E8" s="21" t="s">
        <v>69</v>
      </c>
      <c r="F8" s="18" t="s">
        <v>64</v>
      </c>
      <c r="G8" s="18" t="s">
        <v>58</v>
      </c>
    </row>
    <row r="10" spans="1:9" ht="15" customHeight="1" x14ac:dyDescent="0.3"/>
    <row r="11" spans="1:9" x14ac:dyDescent="0.3">
      <c r="B11" s="63" t="s">
        <v>77</v>
      </c>
      <c r="C11" s="63"/>
      <c r="D11" s="63"/>
      <c r="E11" s="63"/>
      <c r="F11" s="63"/>
      <c r="G11" s="63"/>
    </row>
    <row r="12" spans="1:9" ht="19.5" customHeight="1" x14ac:dyDescent="0.3">
      <c r="B12" s="64" t="s">
        <v>78</v>
      </c>
      <c r="C12" s="64"/>
      <c r="D12" s="65" t="s">
        <v>79</v>
      </c>
      <c r="E12" s="65"/>
      <c r="F12" s="66" t="s">
        <v>80</v>
      </c>
      <c r="G12" s="66"/>
      <c r="H12" s="59" t="s">
        <v>81</v>
      </c>
      <c r="I12" s="59"/>
    </row>
    <row r="14" spans="1:9" ht="19.5" customHeight="1" x14ac:dyDescent="0.3">
      <c r="B14" s="60" t="s">
        <v>82</v>
      </c>
      <c r="C14" s="60"/>
      <c r="D14" s="60"/>
      <c r="E14" s="60"/>
      <c r="F14" s="60"/>
      <c r="G14" s="60"/>
    </row>
    <row r="15" spans="1:9" ht="19.5" customHeight="1" x14ac:dyDescent="0.3">
      <c r="B15" s="17" t="s">
        <v>83</v>
      </c>
      <c r="C15" s="17" t="s">
        <v>84</v>
      </c>
      <c r="D15" s="17" t="s">
        <v>85</v>
      </c>
      <c r="E15" s="17" t="s">
        <v>86</v>
      </c>
      <c r="F15" s="17" t="s">
        <v>8</v>
      </c>
      <c r="G15" s="17" t="s">
        <v>87</v>
      </c>
    </row>
    <row r="16" spans="1:9" ht="18" customHeight="1" x14ac:dyDescent="0.3">
      <c r="B16" s="8" t="s">
        <v>15</v>
      </c>
      <c r="C16" s="9">
        <v>4</v>
      </c>
      <c r="D16" s="9">
        <v>4</v>
      </c>
      <c r="E16" s="9">
        <f t="shared" ref="E16:E23" si="0">C16*D16</f>
        <v>16</v>
      </c>
      <c r="F16" s="22" t="s">
        <v>88</v>
      </c>
      <c r="G16" s="8" t="s">
        <v>89</v>
      </c>
    </row>
    <row r="17" spans="2:7" ht="18" customHeight="1" x14ac:dyDescent="0.3">
      <c r="B17" s="13" t="s">
        <v>22</v>
      </c>
      <c r="C17" s="14">
        <v>3</v>
      </c>
      <c r="D17" s="14">
        <v>4</v>
      </c>
      <c r="E17" s="14">
        <f t="shared" si="0"/>
        <v>12</v>
      </c>
      <c r="F17" s="23" t="s">
        <v>90</v>
      </c>
      <c r="G17" s="13" t="s">
        <v>91</v>
      </c>
    </row>
    <row r="18" spans="2:7" ht="18" customHeight="1" x14ac:dyDescent="0.3">
      <c r="B18" s="8" t="s">
        <v>24</v>
      </c>
      <c r="C18" s="9">
        <v>3</v>
      </c>
      <c r="D18" s="9">
        <v>3</v>
      </c>
      <c r="E18" s="9">
        <f t="shared" si="0"/>
        <v>9</v>
      </c>
      <c r="F18" s="23" t="s">
        <v>90</v>
      </c>
      <c r="G18" s="8" t="s">
        <v>92</v>
      </c>
    </row>
    <row r="19" spans="2:7" ht="18" customHeight="1" x14ac:dyDescent="0.3">
      <c r="B19" s="13" t="s">
        <v>26</v>
      </c>
      <c r="C19" s="14">
        <v>2</v>
      </c>
      <c r="D19" s="14">
        <v>4</v>
      </c>
      <c r="E19" s="14">
        <f t="shared" si="0"/>
        <v>8</v>
      </c>
      <c r="F19" s="23" t="s">
        <v>90</v>
      </c>
      <c r="G19" s="13" t="s">
        <v>93</v>
      </c>
    </row>
    <row r="20" spans="2:7" ht="18" customHeight="1" x14ac:dyDescent="0.3">
      <c r="B20" s="8" t="s">
        <v>29</v>
      </c>
      <c r="C20" s="9">
        <v>3</v>
      </c>
      <c r="D20" s="9">
        <v>3</v>
      </c>
      <c r="E20" s="9">
        <f t="shared" si="0"/>
        <v>9</v>
      </c>
      <c r="F20" s="23" t="s">
        <v>90</v>
      </c>
      <c r="G20" s="8" t="s">
        <v>92</v>
      </c>
    </row>
    <row r="21" spans="2:7" ht="18" customHeight="1" x14ac:dyDescent="0.3">
      <c r="B21" s="13" t="s">
        <v>31</v>
      </c>
      <c r="C21" s="14">
        <v>2</v>
      </c>
      <c r="D21" s="14">
        <v>3</v>
      </c>
      <c r="E21" s="14">
        <f t="shared" si="0"/>
        <v>6</v>
      </c>
      <c r="F21" s="24" t="s">
        <v>94</v>
      </c>
      <c r="G21" s="13" t="s">
        <v>95</v>
      </c>
    </row>
    <row r="22" spans="2:7" ht="18" customHeight="1" x14ac:dyDescent="0.3">
      <c r="B22" s="8" t="s">
        <v>34</v>
      </c>
      <c r="C22" s="9">
        <v>3</v>
      </c>
      <c r="D22" s="9">
        <v>2</v>
      </c>
      <c r="E22" s="9">
        <f t="shared" si="0"/>
        <v>6</v>
      </c>
      <c r="F22" s="24" t="s">
        <v>94</v>
      </c>
      <c r="G22" s="8" t="s">
        <v>96</v>
      </c>
    </row>
    <row r="23" spans="2:7" ht="18" customHeight="1" x14ac:dyDescent="0.3">
      <c r="B23" s="13" t="s">
        <v>36</v>
      </c>
      <c r="C23" s="14">
        <v>3</v>
      </c>
      <c r="D23" s="14">
        <v>2</v>
      </c>
      <c r="E23" s="14">
        <f t="shared" si="0"/>
        <v>6</v>
      </c>
      <c r="F23" s="24" t="s">
        <v>94</v>
      </c>
      <c r="G23" s="13" t="s">
        <v>97</v>
      </c>
    </row>
  </sheetData>
  <mergeCells count="9">
    <mergeCell ref="H12:I12"/>
    <mergeCell ref="B14:G14"/>
    <mergeCell ref="A1:G1"/>
    <mergeCell ref="A2:G2"/>
    <mergeCell ref="A4:A8"/>
    <mergeCell ref="B11:G11"/>
    <mergeCell ref="B12:C12"/>
    <mergeCell ref="D12:E12"/>
    <mergeCell ref="F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zoomScaleNormal="100" workbookViewId="0">
      <selection activeCell="G10" sqref="G10"/>
    </sheetView>
  </sheetViews>
  <sheetFormatPr baseColWidth="10" defaultColWidth="8.6640625" defaultRowHeight="14.4" x14ac:dyDescent="0.3"/>
  <cols>
    <col min="1" max="1" width="14.109375" bestFit="1" customWidth="1"/>
    <col min="2" max="2" width="13.6640625" bestFit="1" customWidth="1"/>
    <col min="3" max="3" width="8.109375" bestFit="1" customWidth="1"/>
    <col min="4" max="4" width="7.44140625" bestFit="1" customWidth="1"/>
    <col min="5" max="5" width="30.5546875" bestFit="1" customWidth="1"/>
    <col min="6" max="6" width="8.33203125" bestFit="1" customWidth="1"/>
  </cols>
  <sheetData>
    <row r="1" spans="1:8" ht="30" customHeight="1" x14ac:dyDescent="0.3">
      <c r="A1" s="68" t="s">
        <v>98</v>
      </c>
      <c r="B1" s="68"/>
      <c r="C1" s="68"/>
      <c r="D1" s="68"/>
      <c r="E1" s="68"/>
      <c r="F1" s="68"/>
      <c r="G1" s="68"/>
      <c r="H1" s="68"/>
    </row>
    <row r="3" spans="1:8" ht="19.5" customHeight="1" x14ac:dyDescent="0.3">
      <c r="A3" s="25" t="s">
        <v>99</v>
      </c>
      <c r="B3" s="26" t="s">
        <v>100</v>
      </c>
      <c r="C3" s="27" t="s">
        <v>101</v>
      </c>
      <c r="D3" s="28" t="s">
        <v>102</v>
      </c>
      <c r="E3" s="29" t="s">
        <v>103</v>
      </c>
      <c r="F3" s="30" t="s">
        <v>104</v>
      </c>
    </row>
    <row r="4" spans="1:8" ht="39.75" customHeight="1" x14ac:dyDescent="0.3">
      <c r="A4" s="69">
        <f>COUNTA('1-Registro'!A4:A15)</f>
        <v>12</v>
      </c>
      <c r="B4" s="70">
        <f>COUNTIF('1-Registro'!H4:H33,"CRÍTICO")</f>
        <v>6</v>
      </c>
      <c r="C4" s="71">
        <f>COUNTIF('1-Registro'!H4:H33,"ALTO")</f>
        <v>17</v>
      </c>
      <c r="D4" s="72">
        <f>COUNTIF('1-Registro'!H4:H33,"MEDIO")</f>
        <v>7</v>
      </c>
      <c r="E4" s="73">
        <f>COUNTIF('1-Registro'!H4:H33,"BAJO")</f>
        <v>0</v>
      </c>
      <c r="F4" s="74">
        <f>COUNTIF('1-Registro'!M4:M33,"Activo")</f>
        <v>27</v>
      </c>
    </row>
    <row r="5" spans="1:8" ht="4.5" customHeight="1" x14ac:dyDescent="0.3">
      <c r="A5" s="69"/>
      <c r="B5" s="69"/>
      <c r="C5" s="69"/>
      <c r="D5" s="69"/>
      <c r="E5" s="69"/>
      <c r="F5" s="69"/>
    </row>
    <row r="7" spans="1:8" ht="21.75" customHeight="1" x14ac:dyDescent="0.3">
      <c r="A7" s="67" t="s">
        <v>105</v>
      </c>
      <c r="B7" s="67"/>
      <c r="C7" s="67"/>
      <c r="D7" s="67"/>
      <c r="E7" s="67"/>
      <c r="F7" s="67"/>
      <c r="G7" s="67"/>
      <c r="H7" s="67"/>
    </row>
    <row r="8" spans="1:8" ht="18" customHeight="1" x14ac:dyDescent="0.3">
      <c r="A8" s="31" t="s">
        <v>2</v>
      </c>
      <c r="B8" s="31" t="s">
        <v>106</v>
      </c>
      <c r="C8" s="31" t="s">
        <v>107</v>
      </c>
      <c r="D8" s="31" t="s">
        <v>108</v>
      </c>
      <c r="E8" s="31" t="s">
        <v>109</v>
      </c>
    </row>
    <row r="9" spans="1:8" ht="18" customHeight="1" x14ac:dyDescent="0.3">
      <c r="A9" s="3" t="s">
        <v>16</v>
      </c>
      <c r="B9" s="32" t="s">
        <v>110</v>
      </c>
      <c r="C9" s="33">
        <f>COUNTIF('1-Registro'!B4:B33,"TEC")</f>
        <v>7</v>
      </c>
      <c r="D9" s="9">
        <f>COUNTIFS('1-Registro'!B4:B33,"TEC",'1-Registro'!M4:M33,"Activo")</f>
        <v>7</v>
      </c>
      <c r="E9" s="34">
        <f>IF(COUNTA('1-Registro'!A4:A15)=0,0,C9/COUNTA('1-Registro'!A4:A15))</f>
        <v>0.58333333333333337</v>
      </c>
    </row>
    <row r="10" spans="1:8" ht="18" customHeight="1" x14ac:dyDescent="0.3">
      <c r="A10" s="3" t="s">
        <v>23</v>
      </c>
      <c r="B10" s="35" t="s">
        <v>111</v>
      </c>
      <c r="C10" s="36">
        <f>COUNTIF('1-Registro'!B4:B33,"GES")</f>
        <v>7</v>
      </c>
      <c r="D10" s="14">
        <f>COUNTIFS('1-Registro'!B4:B33,"GES",'1-Registro'!M4:M33,"Activo")</f>
        <v>6</v>
      </c>
      <c r="E10" s="37">
        <f>IF(COUNTA('1-Registro'!A4:A15)=0,0,C10/COUNTA('1-Registro'!A4:A15))</f>
        <v>0.58333333333333337</v>
      </c>
    </row>
    <row r="11" spans="1:8" ht="18" customHeight="1" x14ac:dyDescent="0.3">
      <c r="A11" s="3" t="s">
        <v>27</v>
      </c>
      <c r="B11" s="32" t="s">
        <v>112</v>
      </c>
      <c r="C11" s="33">
        <f>COUNTIF('1-Registro'!B4:B33,"ORG")</f>
        <v>3</v>
      </c>
      <c r="D11" s="9">
        <f>COUNTIFS('1-Registro'!B4:B33,"ORG",'1-Registro'!M4:M33,"Activo")</f>
        <v>2</v>
      </c>
      <c r="E11" s="34">
        <f>IF(COUNTA('1-Registro'!A4:A15)=0,0,C11/COUNTA('1-Registro'!A4:A15))</f>
        <v>0.25</v>
      </c>
    </row>
    <row r="12" spans="1:8" ht="18" customHeight="1" x14ac:dyDescent="0.3">
      <c r="A12" s="3" t="s">
        <v>32</v>
      </c>
      <c r="B12" s="35" t="s">
        <v>113</v>
      </c>
      <c r="C12" s="36">
        <f>COUNTIF('1-Registro'!B4:B33,"EXT")</f>
        <v>4</v>
      </c>
      <c r="D12" s="14">
        <f>COUNTIFS('1-Registro'!B4:B33,"EXT",'1-Registro'!M4:M33,"Activo")</f>
        <v>3</v>
      </c>
      <c r="E12" s="37">
        <f>IF(COUNTA('1-Registro'!A4:A15)=0,0,C12/COUNTA('1-Registro'!A4:A15))</f>
        <v>0.33333333333333331</v>
      </c>
    </row>
    <row r="13" spans="1:8" ht="18" customHeight="1" x14ac:dyDescent="0.3">
      <c r="A13" s="3" t="s">
        <v>35</v>
      </c>
      <c r="B13" s="32" t="s">
        <v>114</v>
      </c>
      <c r="C13" s="33">
        <f>COUNTIF('1-Registro'!B4:B33,"REQ")</f>
        <v>5</v>
      </c>
      <c r="D13" s="9">
        <f>COUNTIFS('1-Registro'!B4:B33,"REQ",'1-Registro'!M4:M33,"Activo")</f>
        <v>5</v>
      </c>
      <c r="E13" s="34">
        <f>IF(COUNTA('1-Registro'!A4:A15)=0,0,C13/COUNTA('1-Registro'!A4:A15))</f>
        <v>0.41666666666666669</v>
      </c>
    </row>
    <row r="14" spans="1:8" ht="18" customHeight="1" x14ac:dyDescent="0.3">
      <c r="A14" s="3" t="s">
        <v>30</v>
      </c>
      <c r="B14" s="35" t="s">
        <v>115</v>
      </c>
      <c r="C14" s="36">
        <f>COUNTIF('1-Registro'!B4:B33,"CAL")</f>
        <v>4</v>
      </c>
      <c r="D14" s="14">
        <f>COUNTIFS('1-Registro'!B4:B33,"CAL",'1-Registro'!M4:M33,"Activo")</f>
        <v>4</v>
      </c>
      <c r="E14" s="37">
        <f>IF(COUNTA('1-Registro'!A4:A15)=0,0,C14/COUNTA('1-Registro'!A4:A15))</f>
        <v>0.33333333333333331</v>
      </c>
    </row>
    <row r="16" spans="1:8" ht="21.75" customHeight="1" x14ac:dyDescent="0.3">
      <c r="A16" s="67" t="s">
        <v>116</v>
      </c>
      <c r="B16" s="67"/>
      <c r="C16" s="67"/>
      <c r="D16" s="67"/>
      <c r="E16" s="67"/>
      <c r="F16" s="67"/>
      <c r="G16" s="67"/>
      <c r="H16" s="67"/>
    </row>
    <row r="17" spans="1:5" ht="18" customHeight="1" x14ac:dyDescent="0.3">
      <c r="A17" s="31" t="s">
        <v>8</v>
      </c>
      <c r="B17" s="31" t="s">
        <v>117</v>
      </c>
      <c r="C17" s="31" t="s">
        <v>118</v>
      </c>
      <c r="D17" s="31" t="s">
        <v>119</v>
      </c>
      <c r="E17" s="31" t="s">
        <v>120</v>
      </c>
    </row>
    <row r="18" spans="1:5" ht="21.75" customHeight="1" x14ac:dyDescent="0.3">
      <c r="A18" s="38" t="s">
        <v>88</v>
      </c>
      <c r="B18" s="39" t="s">
        <v>121</v>
      </c>
      <c r="C18" s="40">
        <f>COUNTIF('1-Registro'!H4:H33,"CRÍTICO")</f>
        <v>6</v>
      </c>
      <c r="D18" s="41">
        <f>C18/COUNTA('1-Registro'!A4:A15)</f>
        <v>0.5</v>
      </c>
      <c r="E18" s="39" t="s">
        <v>122</v>
      </c>
    </row>
    <row r="19" spans="1:5" ht="21.75" customHeight="1" x14ac:dyDescent="0.3">
      <c r="A19" s="42" t="s">
        <v>90</v>
      </c>
      <c r="B19" s="43" t="s">
        <v>123</v>
      </c>
      <c r="C19" s="44">
        <f>COUNTIF('1-Registro'!H4:H33,"ALTO")</f>
        <v>17</v>
      </c>
      <c r="D19" s="45">
        <f>C19/COUNTA('1-Registro'!A4:A15)</f>
        <v>1.4166666666666667</v>
      </c>
      <c r="E19" s="43" t="s">
        <v>124</v>
      </c>
    </row>
    <row r="20" spans="1:5" ht="21.75" customHeight="1" x14ac:dyDescent="0.3">
      <c r="A20" s="46" t="s">
        <v>94</v>
      </c>
      <c r="B20" s="47" t="s">
        <v>125</v>
      </c>
      <c r="C20" s="48">
        <f>COUNTIF('1-Registro'!H4:H33,"MEDIO")</f>
        <v>7</v>
      </c>
      <c r="D20" s="49">
        <f>C20/COUNTA('1-Registro'!A4:A15)</f>
        <v>0.58333333333333337</v>
      </c>
      <c r="E20" s="47" t="s">
        <v>126</v>
      </c>
    </row>
    <row r="21" spans="1:5" ht="21.75" customHeight="1" x14ac:dyDescent="0.3">
      <c r="A21" s="50" t="s">
        <v>127</v>
      </c>
      <c r="B21" s="51" t="s">
        <v>128</v>
      </c>
      <c r="C21" s="52">
        <f>COUNTIF('1-Registro'!H4:H33,"BAJO")</f>
        <v>0</v>
      </c>
      <c r="D21" s="53">
        <f>C21/COUNTA('1-Registro'!A4:A15)</f>
        <v>0</v>
      </c>
      <c r="E21" s="51" t="s">
        <v>129</v>
      </c>
    </row>
  </sheetData>
  <mergeCells count="9">
    <mergeCell ref="A7:H7"/>
    <mergeCell ref="A16:H16"/>
    <mergeCell ref="A1:H1"/>
    <mergeCell ref="A4:A5"/>
    <mergeCell ref="B4:B5"/>
    <mergeCell ref="C4:C5"/>
    <mergeCell ref="D4:D5"/>
    <mergeCell ref="E4:E5"/>
    <mergeCell ref="F4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zoomScaleNormal="100" workbookViewId="0">
      <selection activeCell="A3" sqref="A3"/>
    </sheetView>
  </sheetViews>
  <sheetFormatPr baseColWidth="10" defaultColWidth="8.6640625" defaultRowHeight="14.4" x14ac:dyDescent="0.3"/>
  <cols>
    <col min="1" max="1" width="22" customWidth="1"/>
    <col min="2" max="2" width="65" customWidth="1"/>
  </cols>
  <sheetData>
    <row r="1" spans="1:2" ht="27.75" customHeight="1" x14ac:dyDescent="0.3">
      <c r="A1" s="68" t="s">
        <v>130</v>
      </c>
      <c r="B1" s="68"/>
    </row>
    <row r="3" spans="1:2" ht="34.5" customHeight="1" x14ac:dyDescent="0.3">
      <c r="A3" s="54" t="s">
        <v>131</v>
      </c>
      <c r="B3" s="55" t="s">
        <v>132</v>
      </c>
    </row>
    <row r="4" spans="1:2" ht="34.5" customHeight="1" x14ac:dyDescent="0.3">
      <c r="A4" s="54" t="s">
        <v>133</v>
      </c>
      <c r="B4" s="56" t="s">
        <v>134</v>
      </c>
    </row>
    <row r="5" spans="1:2" ht="34.5" customHeight="1" x14ac:dyDescent="0.3">
      <c r="A5" s="54" t="s">
        <v>135</v>
      </c>
      <c r="B5" s="55" t="s">
        <v>136</v>
      </c>
    </row>
    <row r="6" spans="1:2" ht="36" customHeight="1" x14ac:dyDescent="0.3">
      <c r="A6" s="54" t="s">
        <v>137</v>
      </c>
      <c r="B6" s="56" t="s">
        <v>138</v>
      </c>
    </row>
    <row r="7" spans="1:2" ht="34.5" customHeight="1" x14ac:dyDescent="0.3">
      <c r="A7" s="54" t="s">
        <v>139</v>
      </c>
      <c r="B7" s="55" t="s">
        <v>140</v>
      </c>
    </row>
    <row r="8" spans="1:2" ht="34.5" customHeight="1" x14ac:dyDescent="0.3">
      <c r="A8" s="54" t="s">
        <v>141</v>
      </c>
      <c r="B8" s="56" t="s">
        <v>142</v>
      </c>
    </row>
    <row r="9" spans="1:2" ht="34.5" customHeight="1" x14ac:dyDescent="0.3">
      <c r="A9" s="54" t="s">
        <v>143</v>
      </c>
      <c r="B9" s="55" t="s">
        <v>144</v>
      </c>
    </row>
    <row r="10" spans="1:2" ht="34.5" customHeight="1" x14ac:dyDescent="0.3">
      <c r="A10" s="54" t="s">
        <v>145</v>
      </c>
      <c r="B10" s="56" t="s">
        <v>146</v>
      </c>
    </row>
    <row r="11" spans="1:2" ht="72" customHeight="1" x14ac:dyDescent="0.3">
      <c r="A11" s="54" t="s">
        <v>147</v>
      </c>
      <c r="B11" s="55" t="s">
        <v>148</v>
      </c>
    </row>
    <row r="12" spans="1:2" ht="36" customHeight="1" x14ac:dyDescent="0.3">
      <c r="A12" s="54" t="s">
        <v>149</v>
      </c>
      <c r="B12" s="56" t="s">
        <v>150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1-Registro</vt:lpstr>
      <vt:lpstr>2-Matriz P×I</vt:lpstr>
      <vt:lpstr>3-Dashboard</vt:lpstr>
      <vt:lpstr>4-Instrucciones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Geovany Benito</cp:lastModifiedBy>
  <cp:revision>0</cp:revision>
  <dcterms:created xsi:type="dcterms:W3CDTF">2026-03-23T04:44:22Z</dcterms:created>
  <dcterms:modified xsi:type="dcterms:W3CDTF">2026-04-03T02:19:43Z</dcterms:modified>
  <dc:language>en-US</dc:language>
</cp:coreProperties>
</file>